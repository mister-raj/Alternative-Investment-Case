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Models\IVP\"/>
    </mc:Choice>
  </mc:AlternateContent>
  <xr:revisionPtr revIDLastSave="0" documentId="13_ncr:1_{382FAE79-561E-40CB-A596-2886C15AAC8A}" xr6:coauthVersionLast="47" xr6:coauthVersionMax="47" xr10:uidLastSave="{00000000-0000-0000-0000-000000000000}"/>
  <bookViews>
    <workbookView xWindow="-108" yWindow="-108" windowWidth="23256" windowHeight="12456" activeTab="2" xr2:uid="{E0196D2B-5DA4-4993-84BC-244D8BCD5BF1}"/>
  </bookViews>
  <sheets>
    <sheet name="Data File" sheetId="3" r:id="rId1"/>
    <sheet name="Assumptions" sheetId="4" r:id="rId2"/>
    <sheet name="Empirical Model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5" l="1"/>
  <c r="E11" i="5"/>
  <c r="D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C7" i="5"/>
  <c r="B5" i="5"/>
  <c r="C6" i="5"/>
  <c r="D6" i="5"/>
  <c r="F6" i="5"/>
  <c r="C15" i="5"/>
  <c r="C17" i="5" s="1"/>
  <c r="C19" i="5" s="1"/>
  <c r="D15" i="5"/>
  <c r="D17" i="5" s="1"/>
  <c r="D19" i="5" s="1"/>
  <c r="D21" i="5" s="1"/>
  <c r="F15" i="5"/>
  <c r="F17" i="5" s="1"/>
  <c r="F19" i="5" s="1"/>
  <c r="F21" i="5" s="1"/>
  <c r="F23" i="5" s="1"/>
  <c r="F25" i="5" s="1"/>
  <c r="F27" i="5" s="1"/>
  <c r="F29" i="5" s="1"/>
  <c r="F32" i="5" s="1"/>
  <c r="K23" i="3"/>
  <c r="G15" i="5"/>
  <c r="G17" i="5" s="1"/>
  <c r="G19" i="5" s="1"/>
  <c r="G21" i="5" s="1"/>
  <c r="G23" i="5" s="1"/>
  <c r="G25" i="5" s="1"/>
  <c r="G27" i="5" s="1"/>
  <c r="G29" i="5" s="1"/>
  <c r="G32" i="5" s="1"/>
  <c r="H15" i="5"/>
  <c r="H17" i="5" s="1"/>
  <c r="H19" i="5" s="1"/>
  <c r="H21" i="5" s="1"/>
  <c r="I15" i="5"/>
  <c r="I17" i="5" s="1"/>
  <c r="I19" i="5" s="1"/>
  <c r="I21" i="5" s="1"/>
  <c r="I23" i="5" s="1"/>
  <c r="I25" i="5" s="1"/>
  <c r="I27" i="5" s="1"/>
  <c r="I29" i="5" s="1"/>
  <c r="I32" i="5" s="1"/>
  <c r="I33" i="5" s="1"/>
  <c r="J15" i="5"/>
  <c r="J17" i="5" s="1"/>
  <c r="J19" i="5" s="1"/>
  <c r="J21" i="5" s="1"/>
  <c r="J23" i="5" s="1"/>
  <c r="J25" i="5" s="1"/>
  <c r="J27" i="5" s="1"/>
  <c r="J29" i="5" s="1"/>
  <c r="J32" i="5" s="1"/>
  <c r="K15" i="5"/>
  <c r="K17" i="5" s="1"/>
  <c r="K19" i="5" s="1"/>
  <c r="K21" i="5" s="1"/>
  <c r="K23" i="5" s="1"/>
  <c r="K25" i="5" s="1"/>
  <c r="K27" i="5" s="1"/>
  <c r="K29" i="5" s="1"/>
  <c r="K32" i="5" s="1"/>
  <c r="L15" i="5"/>
  <c r="L17" i="5" s="1"/>
  <c r="L19" i="5" s="1"/>
  <c r="L21" i="5" s="1"/>
  <c r="L23" i="5" s="1"/>
  <c r="L25" i="5" s="1"/>
  <c r="L27" i="5" s="1"/>
  <c r="L29" i="5" s="1"/>
  <c r="L32" i="5" s="1"/>
  <c r="L33" i="5" s="1"/>
  <c r="M15" i="5"/>
  <c r="M17" i="5" s="1"/>
  <c r="M19" i="5" s="1"/>
  <c r="M21" i="5" s="1"/>
  <c r="M23" i="5" s="1"/>
  <c r="M25" i="5" s="1"/>
  <c r="M27" i="5" s="1"/>
  <c r="M29" i="5" s="1"/>
  <c r="M32" i="5" s="1"/>
  <c r="N15" i="5"/>
  <c r="N17" i="5" s="1"/>
  <c r="N19" i="5" s="1"/>
  <c r="N21" i="5" s="1"/>
  <c r="N23" i="5" s="1"/>
  <c r="N25" i="5" s="1"/>
  <c r="N27" i="5" s="1"/>
  <c r="N29" i="5" s="1"/>
  <c r="N32" i="5" s="1"/>
  <c r="O15" i="5"/>
  <c r="O17" i="5" s="1"/>
  <c r="O19" i="5" s="1"/>
  <c r="O21" i="5" s="1"/>
  <c r="O23" i="5" s="1"/>
  <c r="O25" i="5" s="1"/>
  <c r="O27" i="5" s="1"/>
  <c r="O29" i="5" s="1"/>
  <c r="O32" i="5" s="1"/>
  <c r="P15" i="5"/>
  <c r="P17" i="5" s="1"/>
  <c r="P19" i="5" s="1"/>
  <c r="P21" i="5" s="1"/>
  <c r="P23" i="5" s="1"/>
  <c r="P25" i="5" s="1"/>
  <c r="P27" i="5" s="1"/>
  <c r="P29" i="5" s="1"/>
  <c r="P32" i="5" s="1"/>
  <c r="Q15" i="5"/>
  <c r="Q17" i="5" s="1"/>
  <c r="Q19" i="5" s="1"/>
  <c r="Q21" i="5" s="1"/>
  <c r="Q23" i="5" s="1"/>
  <c r="Q25" i="5" s="1"/>
  <c r="Q27" i="5" s="1"/>
  <c r="Q29" i="5" s="1"/>
  <c r="Q32" i="5" s="1"/>
  <c r="Q33" i="5" s="1"/>
  <c r="R15" i="5"/>
  <c r="R17" i="5" s="1"/>
  <c r="R19" i="5" s="1"/>
  <c r="R21" i="5" s="1"/>
  <c r="R23" i="5" s="1"/>
  <c r="R25" i="5" s="1"/>
  <c r="R27" i="5" s="1"/>
  <c r="R29" i="5" s="1"/>
  <c r="R32" i="5" s="1"/>
  <c r="S15" i="5"/>
  <c r="S17" i="5" s="1"/>
  <c r="S19" i="5" s="1"/>
  <c r="S21" i="5" s="1"/>
  <c r="S23" i="5" s="1"/>
  <c r="S25" i="5" s="1"/>
  <c r="S27" i="5" s="1"/>
  <c r="S29" i="5" s="1"/>
  <c r="S32" i="5" s="1"/>
  <c r="S33" i="5" s="1"/>
  <c r="T15" i="5"/>
  <c r="T17" i="5" s="1"/>
  <c r="T19" i="5" s="1"/>
  <c r="T21" i="5" s="1"/>
  <c r="T23" i="5" s="1"/>
  <c r="T25" i="5" s="1"/>
  <c r="T27" i="5" s="1"/>
  <c r="T29" i="5" s="1"/>
  <c r="T32" i="5" s="1"/>
  <c r="T33" i="5" s="1"/>
  <c r="U15" i="5"/>
  <c r="U17" i="5" s="1"/>
  <c r="U19" i="5" s="1"/>
  <c r="U21" i="5" s="1"/>
  <c r="U23" i="5" s="1"/>
  <c r="U25" i="5" s="1"/>
  <c r="U27" i="5" s="1"/>
  <c r="U29" i="5" s="1"/>
  <c r="U32" i="5" s="1"/>
  <c r="V15" i="5"/>
  <c r="V17" i="5" s="1"/>
  <c r="V19" i="5" s="1"/>
  <c r="V21" i="5" s="1"/>
  <c r="V23" i="5" s="1"/>
  <c r="V25" i="5" s="1"/>
  <c r="V27" i="5" s="1"/>
  <c r="V29" i="5" s="1"/>
  <c r="V32" i="5" s="1"/>
  <c r="W15" i="5"/>
  <c r="W17" i="5" s="1"/>
  <c r="W19" i="5" s="1"/>
  <c r="W21" i="5" s="1"/>
  <c r="W23" i="5" s="1"/>
  <c r="W25" i="5" s="1"/>
  <c r="W27" i="5" s="1"/>
  <c r="W29" i="5" s="1"/>
  <c r="W32" i="5" s="1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E53" i="3"/>
  <c r="C3" i="4" s="1"/>
  <c r="D53" i="3"/>
  <c r="C53" i="3"/>
  <c r="P33" i="5" l="1"/>
  <c r="P34" i="5" s="1"/>
  <c r="W33" i="5"/>
  <c r="W34" i="5" s="1"/>
  <c r="N33" i="5"/>
  <c r="N34" i="5" s="1"/>
  <c r="M33" i="5"/>
  <c r="M34" i="5" s="1"/>
  <c r="R33" i="5"/>
  <c r="R34" i="5"/>
  <c r="O33" i="5"/>
  <c r="O34" i="5"/>
  <c r="V33" i="5"/>
  <c r="V34" i="5" s="1"/>
  <c r="J33" i="5"/>
  <c r="J34" i="5" s="1"/>
  <c r="G33" i="5"/>
  <c r="G34" i="5"/>
  <c r="U33" i="5"/>
  <c r="U34" i="5" s="1"/>
  <c r="F33" i="5"/>
  <c r="F34" i="5" s="1"/>
  <c r="K34" i="5"/>
  <c r="L34" i="5"/>
  <c r="S34" i="5"/>
  <c r="K33" i="5"/>
  <c r="T34" i="5"/>
  <c r="Q34" i="5"/>
  <c r="B6" i="5"/>
  <c r="I34" i="5"/>
  <c r="H23" i="5"/>
  <c r="H25" i="5" s="1"/>
  <c r="H27" i="5" s="1"/>
  <c r="H29" i="5" s="1"/>
  <c r="H32" i="5" s="1"/>
  <c r="B19" i="5"/>
  <c r="C21" i="5"/>
  <c r="C23" i="5" s="1"/>
  <c r="B17" i="5"/>
  <c r="B15" i="5"/>
  <c r="B16" i="5" l="1"/>
  <c r="B18" i="5"/>
  <c r="B20" i="5"/>
  <c r="H33" i="5"/>
  <c r="H34" i="5"/>
  <c r="C25" i="5"/>
  <c r="B21" i="5"/>
  <c r="B22" i="5" s="1"/>
  <c r="E10" i="5" s="1"/>
  <c r="D23" i="5" l="1"/>
  <c r="E23" i="5"/>
  <c r="E25" i="5" s="1"/>
  <c r="E27" i="5" s="1"/>
  <c r="E29" i="5" s="1"/>
  <c r="E32" i="5" s="1"/>
  <c r="E33" i="5" s="1"/>
  <c r="E34" i="5" s="1"/>
  <c r="C27" i="5"/>
  <c r="D25" i="5" l="1"/>
  <c r="B23" i="5"/>
  <c r="B24" i="5" s="1"/>
  <c r="C29" i="5"/>
  <c r="D27" i="5" l="1"/>
  <c r="B25" i="5"/>
  <c r="B26" i="5" s="1"/>
  <c r="C32" i="5"/>
  <c r="D29" i="5" l="1"/>
  <c r="B27" i="5"/>
  <c r="B28" i="5" s="1"/>
  <c r="C33" i="5"/>
  <c r="C34" i="5" s="1"/>
  <c r="D32" i="5" l="1"/>
  <c r="B29" i="5"/>
  <c r="B30" i="5" s="1"/>
  <c r="B32" i="5" l="1"/>
  <c r="D33" i="5"/>
  <c r="D34" i="5" s="1"/>
  <c r="B34" i="5" s="1"/>
</calcChain>
</file>

<file path=xl/sharedStrings.xml><?xml version="1.0" encoding="utf-8"?>
<sst xmlns="http://schemas.openxmlformats.org/spreadsheetml/2006/main" count="188" uniqueCount="131">
  <si>
    <t>Input</t>
  </si>
  <si>
    <t>Value</t>
  </si>
  <si>
    <t>Fund Size</t>
  </si>
  <si>
    <t>Token Supply</t>
  </si>
  <si>
    <t>Token Price (initial)</t>
  </si>
  <si>
    <t>GP Share</t>
  </si>
  <si>
    <t>LP Share</t>
  </si>
  <si>
    <t>$</t>
  </si>
  <si>
    <t>_</t>
  </si>
  <si>
    <t>%</t>
  </si>
  <si>
    <t>Mgmt fee</t>
  </si>
  <si>
    <t>LP Name</t>
  </si>
  <si>
    <t>Total</t>
  </si>
  <si>
    <t>Profit</t>
  </si>
  <si>
    <t>Owner</t>
  </si>
  <si>
    <t>Built-up Area (sq.ft.)</t>
  </si>
  <si>
    <t>Price per sq.ft. ($)</t>
  </si>
  <si>
    <t>House Price ($)</t>
  </si>
  <si>
    <t>Kevin Hall</t>
  </si>
  <si>
    <t>Grace Anderson</t>
  </si>
  <si>
    <t>Lily Lee</t>
  </si>
  <si>
    <t>Nora Roberts</t>
  </si>
  <si>
    <t>Sarah Anderson</t>
  </si>
  <si>
    <t>Michael Lee</t>
  </si>
  <si>
    <t>Elizabeth Moore</t>
  </si>
  <si>
    <t>David Wilson</t>
  </si>
  <si>
    <t>Mark Rivera</t>
  </si>
  <si>
    <t>Christopher Wilson</t>
  </si>
  <si>
    <t>Aria Young</t>
  </si>
  <si>
    <t>Elizabeth Adams</t>
  </si>
  <si>
    <t>Avery Martinez</t>
  </si>
  <si>
    <t>Charles Rodriguez</t>
  </si>
  <si>
    <t>Mia Mitchell</t>
  </si>
  <si>
    <t>Grace Wright</t>
  </si>
  <si>
    <t>Charles Mitchell</t>
  </si>
  <si>
    <t>Chloe Ramirez</t>
  </si>
  <si>
    <t>Chloe Sanchez</t>
  </si>
  <si>
    <t>Abigail Anderson</t>
  </si>
  <si>
    <t>James Allen</t>
  </si>
  <si>
    <t>Ella Garcia</t>
  </si>
  <si>
    <t>Edward Brown</t>
  </si>
  <si>
    <t>Ashley Martinez</t>
  </si>
  <si>
    <t>Kevin Hernandez</t>
  </si>
  <si>
    <t>Lily Ramirez</t>
  </si>
  <si>
    <t>Paul Jones</t>
  </si>
  <si>
    <t>Joshua Harris</t>
  </si>
  <si>
    <t>Paul Robinson</t>
  </si>
  <si>
    <t>Scarlett Taylor</t>
  </si>
  <si>
    <t>Grace Smith</t>
  </si>
  <si>
    <t>Lily Campbell</t>
  </si>
  <si>
    <t>Ashley Baker</t>
  </si>
  <si>
    <t>Anthony Carter</t>
  </si>
  <si>
    <t>Amelia Roberts</t>
  </si>
  <si>
    <t>Aria Perez</t>
  </si>
  <si>
    <t>Ashley Jackson</t>
  </si>
  <si>
    <t>Sofia Hernandez</t>
  </si>
  <si>
    <t>Avery Smith</t>
  </si>
  <si>
    <t>Steven Campbell</t>
  </si>
  <si>
    <t>Charles Allen</t>
  </si>
  <si>
    <t>Edward Lopez</t>
  </si>
  <si>
    <t>Matthew Miller</t>
  </si>
  <si>
    <t>Kevin Martin</t>
  </si>
  <si>
    <t>Kevin Allen</t>
  </si>
  <si>
    <t>Paul Gonzalez</t>
  </si>
  <si>
    <t>Olivia White</t>
  </si>
  <si>
    <t>Edward Hernandez</t>
  </si>
  <si>
    <t>Anthony Roberts</t>
  </si>
  <si>
    <t>Scarlett Smith</t>
  </si>
  <si>
    <t>S.No</t>
  </si>
  <si>
    <t>Real Estate Housing Society</t>
  </si>
  <si>
    <t>Fund</t>
  </si>
  <si>
    <t>% Allocation</t>
  </si>
  <si>
    <t xml:space="preserve">LP1 </t>
  </si>
  <si>
    <t xml:space="preserve"> BlackRock PE</t>
  </si>
  <si>
    <t xml:space="preserve">LP2 </t>
  </si>
  <si>
    <t xml:space="preserve"> CalPERS Pension Fund</t>
  </si>
  <si>
    <t xml:space="preserve">LP3 </t>
  </si>
  <si>
    <t xml:space="preserve"> Harvard Endowment</t>
  </si>
  <si>
    <t xml:space="preserve">LP4 </t>
  </si>
  <si>
    <t xml:space="preserve"> Ontario Teachers</t>
  </si>
  <si>
    <t xml:space="preserve">LP5 </t>
  </si>
  <si>
    <t xml:space="preserve"> GIC Singapore</t>
  </si>
  <si>
    <t xml:space="preserve">LP6 </t>
  </si>
  <si>
    <t xml:space="preserve"> ADIA Abu Dhabi</t>
  </si>
  <si>
    <t xml:space="preserve">LP7 </t>
  </si>
  <si>
    <t xml:space="preserve"> Yale Endowment</t>
  </si>
  <si>
    <t xml:space="preserve">LP8 </t>
  </si>
  <si>
    <t xml:space="preserve"> CPP Investments</t>
  </si>
  <si>
    <t xml:space="preserve">LP9 </t>
  </si>
  <si>
    <t xml:space="preserve"> Goldman Sachs AM</t>
  </si>
  <si>
    <t xml:space="preserve">LP10 </t>
  </si>
  <si>
    <t xml:space="preserve"> Temasek Holdings</t>
  </si>
  <si>
    <t xml:space="preserve">LP11 </t>
  </si>
  <si>
    <t xml:space="preserve"> Fidelity PE Fund</t>
  </si>
  <si>
    <t xml:space="preserve">LP12 </t>
  </si>
  <si>
    <t xml:space="preserve"> TPG Capital</t>
  </si>
  <si>
    <t xml:space="preserve">LP13 </t>
  </si>
  <si>
    <t xml:space="preserve"> Brookfield AM</t>
  </si>
  <si>
    <t xml:space="preserve">LP14 </t>
  </si>
  <si>
    <t xml:space="preserve"> Carlyle Group</t>
  </si>
  <si>
    <t xml:space="preserve">LP15 </t>
  </si>
  <si>
    <t xml:space="preserve"> Morgan Stanley AIP</t>
  </si>
  <si>
    <t xml:space="preserve">LP16 </t>
  </si>
  <si>
    <t xml:space="preserve"> Blackstone FoF</t>
  </si>
  <si>
    <t xml:space="preserve">LP17 </t>
  </si>
  <si>
    <t xml:space="preserve"> KKR Fund of Funds</t>
  </si>
  <si>
    <t xml:space="preserve">LP18 </t>
  </si>
  <si>
    <t xml:space="preserve"> Apollo Global</t>
  </si>
  <si>
    <t xml:space="preserve">LP19 </t>
  </si>
  <si>
    <t xml:space="preserve"> Sovereign PE Fund (QIA)</t>
  </si>
  <si>
    <t xml:space="preserve">LP20 </t>
  </si>
  <si>
    <t xml:space="preserve"> Family Office (Smith Capital)</t>
  </si>
  <si>
    <t>Commitment (Million)</t>
  </si>
  <si>
    <t>Tokens</t>
  </si>
  <si>
    <t>Y0</t>
  </si>
  <si>
    <t>Y1</t>
  </si>
  <si>
    <t>NAV</t>
  </si>
  <si>
    <t>Y2</t>
  </si>
  <si>
    <t>Y3</t>
  </si>
  <si>
    <t>Y4</t>
  </si>
  <si>
    <t>Y5</t>
  </si>
  <si>
    <t>Y6</t>
  </si>
  <si>
    <t>Y7</t>
  </si>
  <si>
    <t>Token Value</t>
  </si>
  <si>
    <t>Mgmt Fees</t>
  </si>
  <si>
    <t>GP (20%)</t>
  </si>
  <si>
    <t>Net profit</t>
  </si>
  <si>
    <t>LP21 New LP</t>
  </si>
  <si>
    <t>Shivam</t>
  </si>
  <si>
    <t>% Allocation New</t>
  </si>
  <si>
    <t>Let’s say LP2 wants to exit early → sells 500,000 tokens at $13/token to New LP21.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</si>
</sst>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_);\(#,##0\);&quot;–&quot;_);@_)"/>
    <numFmt numFmtId="165" formatCode="&quot;$&quot;#,##0_);\(&quot;$&quot;#,##0\);&quot;–&quot;_);@_)"/>
    <numFmt numFmtId="166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sz val="11"/>
      <name val="Palatino Linotype"/>
      <family val="1"/>
    </font>
    <font>
      <i/>
      <sz val="11"/>
      <color theme="1"/>
      <name val="Palatino Linotype"/>
      <family val="1"/>
    </font>
  </fonts>
  <fills count="7">
    <fill>
      <patternFill patternType="none"/>
    </fill>
    <fill>
      <patternFill patternType="gray125"/>
    </fill>
    <fill>
      <patternFill patternType="solid">
        <fgColor rgb="FFDFE9F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" fillId="0" borderId="2" xfId="0" applyFont="1" applyBorder="1"/>
    <xf numFmtId="165" fontId="0" fillId="0" borderId="2" xfId="0" applyNumberForma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9" fontId="6" fillId="0" borderId="0" xfId="0" applyNumberFormat="1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6" fontId="0" fillId="0" borderId="2" xfId="1" applyNumberFormat="1" applyFont="1" applyBorder="1" applyAlignment="1">
      <alignment horizontal="right" vertical="center" wrapText="1"/>
    </xf>
    <xf numFmtId="3" fontId="0" fillId="0" borderId="2" xfId="0" applyNumberFormat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9" fontId="6" fillId="6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9" fontId="8" fillId="4" borderId="2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9190-10E3-448D-8FCB-BC594912E540}">
  <dimension ref="A1:K53"/>
  <sheetViews>
    <sheetView zoomScaleNormal="100" workbookViewId="0">
      <selection activeCell="K32" sqref="K32"/>
    </sheetView>
  </sheetViews>
  <sheetFormatPr defaultRowHeight="14.4" x14ac:dyDescent="0.3"/>
  <cols>
    <col min="1" max="1" width="8.88671875" style="4"/>
    <col min="2" max="2" width="16.5546875" bestFit="1" customWidth="1"/>
    <col min="3" max="5" width="18.88671875" style="4" customWidth="1"/>
    <col min="6" max="6" width="10.33203125" bestFit="1" customWidth="1"/>
    <col min="8" max="8" width="11.109375" style="4" customWidth="1"/>
    <col min="9" max="9" width="24.6640625" bestFit="1" customWidth="1"/>
    <col min="10" max="10" width="11.33203125" style="4" bestFit="1" customWidth="1"/>
    <col min="11" max="11" width="19.88671875" style="4" bestFit="1" customWidth="1"/>
  </cols>
  <sheetData>
    <row r="1" spans="1:11" x14ac:dyDescent="0.3">
      <c r="A1" s="34" t="s">
        <v>69</v>
      </c>
      <c r="B1" s="35"/>
      <c r="C1" s="35"/>
      <c r="D1" s="35"/>
      <c r="E1" s="36"/>
    </row>
    <row r="2" spans="1:11" x14ac:dyDescent="0.3">
      <c r="A2" s="3" t="s">
        <v>68</v>
      </c>
      <c r="B2" s="2" t="s">
        <v>14</v>
      </c>
      <c r="C2" s="3" t="s">
        <v>15</v>
      </c>
      <c r="D2" s="3" t="s">
        <v>16</v>
      </c>
      <c r="E2" s="3" t="s">
        <v>17</v>
      </c>
      <c r="H2" s="14" t="s">
        <v>68</v>
      </c>
      <c r="I2" s="14" t="s">
        <v>11</v>
      </c>
      <c r="J2" s="14" t="s">
        <v>71</v>
      </c>
      <c r="K2" s="14" t="s">
        <v>112</v>
      </c>
    </row>
    <row r="3" spans="1:11" x14ac:dyDescent="0.3">
      <c r="A3" s="6">
        <v>1</v>
      </c>
      <c r="B3" s="7" t="s">
        <v>18</v>
      </c>
      <c r="C3" s="6">
        <v>3953</v>
      </c>
      <c r="D3" s="8">
        <v>420.48</v>
      </c>
      <c r="E3" s="8">
        <v>1662161.15</v>
      </c>
      <c r="H3" s="15" t="s">
        <v>72</v>
      </c>
      <c r="I3" s="16" t="s">
        <v>73</v>
      </c>
      <c r="J3" s="17">
        <v>0.12</v>
      </c>
      <c r="K3" s="15">
        <v>12000000</v>
      </c>
    </row>
    <row r="4" spans="1:11" x14ac:dyDescent="0.3">
      <c r="A4" s="6">
        <v>2</v>
      </c>
      <c r="B4" s="7" t="s">
        <v>19</v>
      </c>
      <c r="C4" s="6">
        <v>2827</v>
      </c>
      <c r="D4" s="8">
        <v>676.03</v>
      </c>
      <c r="E4" s="8">
        <v>1911142.05</v>
      </c>
      <c r="H4" s="15" t="s">
        <v>74</v>
      </c>
      <c r="I4" s="16" t="s">
        <v>75</v>
      </c>
      <c r="J4" s="17">
        <v>0.1</v>
      </c>
      <c r="K4" s="15">
        <v>10000000</v>
      </c>
    </row>
    <row r="5" spans="1:11" x14ac:dyDescent="0.3">
      <c r="A5" s="6">
        <v>3</v>
      </c>
      <c r="B5" s="7" t="s">
        <v>20</v>
      </c>
      <c r="C5" s="6">
        <v>3501</v>
      </c>
      <c r="D5" s="8">
        <v>380.61</v>
      </c>
      <c r="E5" s="8">
        <v>1332507.72</v>
      </c>
      <c r="H5" s="15" t="s">
        <v>76</v>
      </c>
      <c r="I5" s="16" t="s">
        <v>77</v>
      </c>
      <c r="J5" s="17">
        <v>0.08</v>
      </c>
      <c r="K5" s="15">
        <v>9000000</v>
      </c>
    </row>
    <row r="6" spans="1:11" x14ac:dyDescent="0.3">
      <c r="A6" s="6">
        <v>4</v>
      </c>
      <c r="B6" s="7" t="s">
        <v>21</v>
      </c>
      <c r="C6" s="6">
        <v>1579</v>
      </c>
      <c r="D6" s="8">
        <v>875.4</v>
      </c>
      <c r="E6" s="8">
        <v>1382253.15</v>
      </c>
      <c r="H6" s="15" t="s">
        <v>78</v>
      </c>
      <c r="I6" s="16" t="s">
        <v>79</v>
      </c>
      <c r="J6" s="17">
        <v>7.0000000000000007E-2</v>
      </c>
      <c r="K6" s="15">
        <v>8000000</v>
      </c>
    </row>
    <row r="7" spans="1:11" x14ac:dyDescent="0.3">
      <c r="A7" s="6">
        <v>5</v>
      </c>
      <c r="B7" s="7" t="s">
        <v>22</v>
      </c>
      <c r="C7" s="6">
        <v>1958</v>
      </c>
      <c r="D7" s="8">
        <v>574.54</v>
      </c>
      <c r="E7" s="8">
        <v>1124942.3799999999</v>
      </c>
      <c r="H7" s="15" t="s">
        <v>80</v>
      </c>
      <c r="I7" s="16" t="s">
        <v>81</v>
      </c>
      <c r="J7" s="17">
        <v>0.06</v>
      </c>
      <c r="K7" s="15">
        <v>8000000</v>
      </c>
    </row>
    <row r="8" spans="1:11" x14ac:dyDescent="0.3">
      <c r="A8" s="6">
        <v>6</v>
      </c>
      <c r="B8" s="7" t="s">
        <v>23</v>
      </c>
      <c r="C8" s="6">
        <v>2986</v>
      </c>
      <c r="D8" s="8">
        <v>565.47</v>
      </c>
      <c r="E8" s="8">
        <v>1688506.45</v>
      </c>
      <c r="H8" s="15" t="s">
        <v>82</v>
      </c>
      <c r="I8" s="16" t="s">
        <v>83</v>
      </c>
      <c r="J8" s="17">
        <v>7.0000000000000007E-2</v>
      </c>
      <c r="K8" s="15">
        <v>7000000</v>
      </c>
    </row>
    <row r="9" spans="1:11" x14ac:dyDescent="0.3">
      <c r="A9" s="6">
        <v>7</v>
      </c>
      <c r="B9" s="7" t="s">
        <v>24</v>
      </c>
      <c r="C9" s="6">
        <v>4906</v>
      </c>
      <c r="D9" s="8">
        <v>367.92</v>
      </c>
      <c r="E9" s="8">
        <v>1805019.55</v>
      </c>
      <c r="H9" s="15" t="s">
        <v>84</v>
      </c>
      <c r="I9" s="16" t="s">
        <v>85</v>
      </c>
      <c r="J9" s="17">
        <v>0.05</v>
      </c>
      <c r="K9" s="15">
        <v>5000000</v>
      </c>
    </row>
    <row r="10" spans="1:11" x14ac:dyDescent="0.3">
      <c r="A10" s="6">
        <v>8</v>
      </c>
      <c r="B10" s="7" t="s">
        <v>25</v>
      </c>
      <c r="C10" s="6">
        <v>4804</v>
      </c>
      <c r="D10" s="8">
        <v>427.73</v>
      </c>
      <c r="E10" s="8">
        <v>2054817.85</v>
      </c>
      <c r="H10" s="15" t="s">
        <v>86</v>
      </c>
      <c r="I10" s="16" t="s">
        <v>87</v>
      </c>
      <c r="J10" s="17">
        <v>0.05</v>
      </c>
      <c r="K10" s="15">
        <v>5000000</v>
      </c>
    </row>
    <row r="11" spans="1:11" x14ac:dyDescent="0.3">
      <c r="A11" s="6">
        <v>9</v>
      </c>
      <c r="B11" s="7" t="s">
        <v>26</v>
      </c>
      <c r="C11" s="6">
        <v>2759</v>
      </c>
      <c r="D11" s="8">
        <v>416.86</v>
      </c>
      <c r="E11" s="8">
        <v>1150105.99</v>
      </c>
      <c r="H11" s="15" t="s">
        <v>88</v>
      </c>
      <c r="I11" s="16" t="s">
        <v>89</v>
      </c>
      <c r="J11" s="17">
        <v>0.05</v>
      </c>
      <c r="K11" s="15">
        <v>5000000</v>
      </c>
    </row>
    <row r="12" spans="1:11" x14ac:dyDescent="0.3">
      <c r="A12" s="6">
        <v>10</v>
      </c>
      <c r="B12" s="7" t="s">
        <v>27</v>
      </c>
      <c r="C12" s="6">
        <v>2480</v>
      </c>
      <c r="D12" s="8">
        <v>574.54</v>
      </c>
      <c r="E12" s="8">
        <v>1424850.41</v>
      </c>
      <c r="H12" s="15" t="s">
        <v>90</v>
      </c>
      <c r="I12" s="16" t="s">
        <v>91</v>
      </c>
      <c r="J12" s="17">
        <v>0.04</v>
      </c>
      <c r="K12" s="15">
        <v>4000000</v>
      </c>
    </row>
    <row r="13" spans="1:11" x14ac:dyDescent="0.3">
      <c r="A13" s="6">
        <v>11</v>
      </c>
      <c r="B13" s="7" t="s">
        <v>28</v>
      </c>
      <c r="C13" s="6">
        <v>1737</v>
      </c>
      <c r="D13" s="8">
        <v>424.11</v>
      </c>
      <c r="E13" s="8">
        <v>736671.73</v>
      </c>
      <c r="H13" s="15" t="s">
        <v>92</v>
      </c>
      <c r="I13" s="16" t="s">
        <v>93</v>
      </c>
      <c r="J13" s="17">
        <v>0.04</v>
      </c>
      <c r="K13" s="15">
        <v>4000000</v>
      </c>
    </row>
    <row r="14" spans="1:11" x14ac:dyDescent="0.3">
      <c r="A14" s="6">
        <v>12</v>
      </c>
      <c r="B14" s="7" t="s">
        <v>29</v>
      </c>
      <c r="C14" s="6">
        <v>2486</v>
      </c>
      <c r="D14" s="8">
        <v>391.48</v>
      </c>
      <c r="E14" s="8">
        <v>973224.88</v>
      </c>
      <c r="H14" s="15" t="s">
        <v>94</v>
      </c>
      <c r="I14" s="16" t="s">
        <v>95</v>
      </c>
      <c r="J14" s="17">
        <v>0.04</v>
      </c>
      <c r="K14" s="15">
        <v>4000000</v>
      </c>
    </row>
    <row r="15" spans="1:11" x14ac:dyDescent="0.3">
      <c r="A15" s="6">
        <v>13</v>
      </c>
      <c r="B15" s="7" t="s">
        <v>30</v>
      </c>
      <c r="C15" s="6">
        <v>3823</v>
      </c>
      <c r="D15" s="8">
        <v>668.78</v>
      </c>
      <c r="E15" s="8">
        <v>2556754.2799999998</v>
      </c>
      <c r="H15" s="15" t="s">
        <v>96</v>
      </c>
      <c r="I15" s="16" t="s">
        <v>97</v>
      </c>
      <c r="J15" s="17">
        <v>0.03</v>
      </c>
      <c r="K15" s="15">
        <v>3000000</v>
      </c>
    </row>
    <row r="16" spans="1:11" x14ac:dyDescent="0.3">
      <c r="A16" s="6">
        <v>14</v>
      </c>
      <c r="B16" s="7" t="s">
        <v>31</v>
      </c>
      <c r="C16" s="6">
        <v>1822</v>
      </c>
      <c r="D16" s="8">
        <v>427.73</v>
      </c>
      <c r="E16" s="8">
        <v>779325.17</v>
      </c>
      <c r="G16" s="5"/>
      <c r="H16" s="15" t="s">
        <v>98</v>
      </c>
      <c r="I16" s="16" t="s">
        <v>99</v>
      </c>
      <c r="J16" s="17">
        <v>0.03</v>
      </c>
      <c r="K16" s="15">
        <v>3000000</v>
      </c>
    </row>
    <row r="17" spans="1:11" x14ac:dyDescent="0.3">
      <c r="A17" s="6">
        <v>15</v>
      </c>
      <c r="B17" s="7" t="s">
        <v>32</v>
      </c>
      <c r="C17" s="6">
        <v>1850</v>
      </c>
      <c r="D17" s="8">
        <v>839.15</v>
      </c>
      <c r="E17" s="8">
        <v>1552426.5</v>
      </c>
      <c r="H17" s="15" t="s">
        <v>100</v>
      </c>
      <c r="I17" s="16" t="s">
        <v>101</v>
      </c>
      <c r="J17" s="17">
        <v>0.03</v>
      </c>
      <c r="K17" s="15">
        <v>3000000</v>
      </c>
    </row>
    <row r="18" spans="1:11" x14ac:dyDescent="0.3">
      <c r="A18" s="6">
        <v>16</v>
      </c>
      <c r="B18" s="7" t="s">
        <v>33</v>
      </c>
      <c r="C18" s="6">
        <v>4497</v>
      </c>
      <c r="D18" s="8">
        <v>581.79</v>
      </c>
      <c r="E18" s="8">
        <v>2616292.2000000002</v>
      </c>
      <c r="H18" s="15" t="s">
        <v>102</v>
      </c>
      <c r="I18" s="16" t="s">
        <v>103</v>
      </c>
      <c r="J18" s="17">
        <v>0.02</v>
      </c>
      <c r="K18" s="15">
        <v>2000000</v>
      </c>
    </row>
    <row r="19" spans="1:11" x14ac:dyDescent="0.3">
      <c r="A19" s="6">
        <v>17</v>
      </c>
      <c r="B19" s="7" t="s">
        <v>34</v>
      </c>
      <c r="C19" s="6">
        <v>3490</v>
      </c>
      <c r="D19" s="8">
        <v>619.85</v>
      </c>
      <c r="E19" s="8">
        <v>2163265.6800000002</v>
      </c>
      <c r="H19" s="15" t="s">
        <v>104</v>
      </c>
      <c r="I19" s="16" t="s">
        <v>105</v>
      </c>
      <c r="J19" s="17">
        <v>0.02</v>
      </c>
      <c r="K19" s="15">
        <v>2000000</v>
      </c>
    </row>
    <row r="20" spans="1:11" x14ac:dyDescent="0.3">
      <c r="A20" s="6">
        <v>18</v>
      </c>
      <c r="B20" s="7" t="s">
        <v>35</v>
      </c>
      <c r="C20" s="6">
        <v>4842</v>
      </c>
      <c r="D20" s="8">
        <v>811.96</v>
      </c>
      <c r="E20" s="8">
        <v>3931525.77</v>
      </c>
      <c r="H20" s="15" t="s">
        <v>106</v>
      </c>
      <c r="I20" s="16" t="s">
        <v>107</v>
      </c>
      <c r="J20" s="17">
        <v>0.02</v>
      </c>
      <c r="K20" s="15">
        <v>2000000</v>
      </c>
    </row>
    <row r="21" spans="1:11" x14ac:dyDescent="0.3">
      <c r="A21" s="6">
        <v>19</v>
      </c>
      <c r="B21" s="7" t="s">
        <v>36</v>
      </c>
      <c r="C21" s="6">
        <v>1783</v>
      </c>
      <c r="D21" s="8">
        <v>560.04</v>
      </c>
      <c r="E21" s="8">
        <v>998546.17</v>
      </c>
      <c r="H21" s="15" t="s">
        <v>108</v>
      </c>
      <c r="I21" s="16" t="s">
        <v>109</v>
      </c>
      <c r="J21" s="17">
        <v>0.02</v>
      </c>
      <c r="K21" s="15">
        <v>2000000</v>
      </c>
    </row>
    <row r="22" spans="1:11" x14ac:dyDescent="0.3">
      <c r="A22" s="6">
        <v>20</v>
      </c>
      <c r="B22" s="7" t="s">
        <v>37</v>
      </c>
      <c r="C22" s="6">
        <v>4615</v>
      </c>
      <c r="D22" s="8">
        <v>862.71</v>
      </c>
      <c r="E22" s="8">
        <v>3981410.76</v>
      </c>
      <c r="H22" s="15" t="s">
        <v>110</v>
      </c>
      <c r="I22" s="16" t="s">
        <v>111</v>
      </c>
      <c r="J22" s="17">
        <v>0.02</v>
      </c>
      <c r="K22" s="15">
        <v>2000000</v>
      </c>
    </row>
    <row r="23" spans="1:11" x14ac:dyDescent="0.3">
      <c r="A23" s="6">
        <v>21</v>
      </c>
      <c r="B23" s="7" t="s">
        <v>38</v>
      </c>
      <c r="C23" s="6">
        <v>3681</v>
      </c>
      <c r="D23" s="8">
        <v>483.92</v>
      </c>
      <c r="E23" s="8">
        <v>1781293.18</v>
      </c>
      <c r="K23" s="4">
        <f>SUM(K3:K22)</f>
        <v>100000000</v>
      </c>
    </row>
    <row r="24" spans="1:11" x14ac:dyDescent="0.3">
      <c r="A24" s="6">
        <v>22</v>
      </c>
      <c r="B24" s="7" t="s">
        <v>39</v>
      </c>
      <c r="C24" s="6">
        <v>4636</v>
      </c>
      <c r="D24" s="8">
        <v>891.71</v>
      </c>
      <c r="E24" s="8">
        <v>4133965.59</v>
      </c>
    </row>
    <row r="25" spans="1:11" x14ac:dyDescent="0.3">
      <c r="A25" s="6">
        <v>23</v>
      </c>
      <c r="B25" s="7" t="s">
        <v>40</v>
      </c>
      <c r="C25" s="6">
        <v>2015</v>
      </c>
      <c r="D25" s="8">
        <v>897.15</v>
      </c>
      <c r="E25" s="8">
        <v>1807750.86</v>
      </c>
      <c r="K25" s="9"/>
    </row>
    <row r="26" spans="1:11" x14ac:dyDescent="0.3">
      <c r="A26" s="6">
        <v>24</v>
      </c>
      <c r="B26" s="7" t="s">
        <v>41</v>
      </c>
      <c r="C26" s="6">
        <v>2025</v>
      </c>
      <c r="D26" s="8">
        <v>801.09</v>
      </c>
      <c r="E26" s="8">
        <v>1622204.58</v>
      </c>
    </row>
    <row r="27" spans="1:11" x14ac:dyDescent="0.3">
      <c r="A27" s="6">
        <v>25</v>
      </c>
      <c r="B27" s="7" t="s">
        <v>42</v>
      </c>
      <c r="C27" s="6">
        <v>4202</v>
      </c>
      <c r="D27" s="8">
        <v>587.22</v>
      </c>
      <c r="E27" s="8">
        <v>2467512.64</v>
      </c>
    </row>
    <row r="28" spans="1:11" x14ac:dyDescent="0.3">
      <c r="A28" s="6">
        <v>26</v>
      </c>
      <c r="B28" s="7" t="s">
        <v>43</v>
      </c>
      <c r="C28" s="6">
        <v>3446</v>
      </c>
      <c r="D28" s="8">
        <v>801.09</v>
      </c>
      <c r="E28" s="8">
        <v>2760551.6</v>
      </c>
    </row>
    <row r="29" spans="1:11" x14ac:dyDescent="0.3">
      <c r="A29" s="6">
        <v>27</v>
      </c>
      <c r="B29" s="7" t="s">
        <v>44</v>
      </c>
      <c r="C29" s="6">
        <v>3751</v>
      </c>
      <c r="D29" s="8">
        <v>739.47</v>
      </c>
      <c r="E29" s="8">
        <v>2773738.75</v>
      </c>
    </row>
    <row r="30" spans="1:11" x14ac:dyDescent="0.3">
      <c r="A30" s="6">
        <v>28</v>
      </c>
      <c r="B30" s="7" t="s">
        <v>45</v>
      </c>
      <c r="C30" s="6">
        <v>2176</v>
      </c>
      <c r="D30" s="8">
        <v>538.29</v>
      </c>
      <c r="E30" s="8">
        <v>1171314.8999999999</v>
      </c>
    </row>
    <row r="31" spans="1:11" x14ac:dyDescent="0.3">
      <c r="A31" s="6">
        <v>29</v>
      </c>
      <c r="B31" s="7" t="s">
        <v>46</v>
      </c>
      <c r="C31" s="6">
        <v>2585</v>
      </c>
      <c r="D31" s="8">
        <v>449.48</v>
      </c>
      <c r="E31" s="8">
        <v>1161904.83</v>
      </c>
    </row>
    <row r="32" spans="1:11" x14ac:dyDescent="0.3">
      <c r="A32" s="6">
        <v>30</v>
      </c>
      <c r="B32" s="7" t="s">
        <v>47</v>
      </c>
      <c r="C32" s="6">
        <v>3661</v>
      </c>
      <c r="D32" s="8">
        <v>451.29</v>
      </c>
      <c r="E32" s="8">
        <v>1652180.16</v>
      </c>
    </row>
    <row r="33" spans="1:5" x14ac:dyDescent="0.3">
      <c r="A33" s="6">
        <v>31</v>
      </c>
      <c r="B33" s="7" t="s">
        <v>48</v>
      </c>
      <c r="C33" s="6">
        <v>3984</v>
      </c>
      <c r="D33" s="8">
        <v>761.22</v>
      </c>
      <c r="E33" s="8">
        <v>3032682.52</v>
      </c>
    </row>
    <row r="34" spans="1:5" x14ac:dyDescent="0.3">
      <c r="A34" s="6">
        <v>32</v>
      </c>
      <c r="B34" s="7" t="s">
        <v>49</v>
      </c>
      <c r="C34" s="6">
        <v>3233</v>
      </c>
      <c r="D34" s="8">
        <v>690.53</v>
      </c>
      <c r="E34" s="8">
        <v>2232487.35</v>
      </c>
    </row>
    <row r="35" spans="1:5" x14ac:dyDescent="0.3">
      <c r="A35" s="6">
        <v>33</v>
      </c>
      <c r="B35" s="7" t="s">
        <v>50</v>
      </c>
      <c r="C35" s="6">
        <v>2367</v>
      </c>
      <c r="D35" s="8">
        <v>753.97</v>
      </c>
      <c r="E35" s="8">
        <v>1784637.09</v>
      </c>
    </row>
    <row r="36" spans="1:5" x14ac:dyDescent="0.3">
      <c r="A36" s="6">
        <v>34</v>
      </c>
      <c r="B36" s="7" t="s">
        <v>51</v>
      </c>
      <c r="C36" s="6">
        <v>3708</v>
      </c>
      <c r="D36" s="8">
        <v>743.09</v>
      </c>
      <c r="E36" s="8">
        <v>2755382.59</v>
      </c>
    </row>
    <row r="37" spans="1:5" x14ac:dyDescent="0.3">
      <c r="A37" s="6">
        <v>35</v>
      </c>
      <c r="B37" s="7" t="s">
        <v>52</v>
      </c>
      <c r="C37" s="6">
        <v>4593</v>
      </c>
      <c r="D37" s="8">
        <v>795.65</v>
      </c>
      <c r="E37" s="8">
        <v>3654427.02</v>
      </c>
    </row>
    <row r="38" spans="1:5" x14ac:dyDescent="0.3">
      <c r="A38" s="6">
        <v>36</v>
      </c>
      <c r="B38" s="7" t="s">
        <v>53</v>
      </c>
      <c r="C38" s="6">
        <v>4489</v>
      </c>
      <c r="D38" s="8">
        <v>411.42</v>
      </c>
      <c r="E38" s="8">
        <v>1846859.21</v>
      </c>
    </row>
    <row r="39" spans="1:5" x14ac:dyDescent="0.3">
      <c r="A39" s="6">
        <v>37</v>
      </c>
      <c r="B39" s="7" t="s">
        <v>54</v>
      </c>
      <c r="C39" s="6">
        <v>4325</v>
      </c>
      <c r="D39" s="8">
        <v>453.1</v>
      </c>
      <c r="E39" s="8">
        <v>1959676.78</v>
      </c>
    </row>
    <row r="40" spans="1:5" x14ac:dyDescent="0.3">
      <c r="A40" s="6">
        <v>38</v>
      </c>
      <c r="B40" s="7" t="s">
        <v>55</v>
      </c>
      <c r="C40" s="6">
        <v>2323</v>
      </c>
      <c r="D40" s="8">
        <v>418.67</v>
      </c>
      <c r="E40" s="8">
        <v>972566.97</v>
      </c>
    </row>
    <row r="41" spans="1:5" x14ac:dyDescent="0.3">
      <c r="A41" s="6">
        <v>39</v>
      </c>
      <c r="B41" s="7" t="s">
        <v>56</v>
      </c>
      <c r="C41" s="6">
        <v>4420</v>
      </c>
      <c r="D41" s="8">
        <v>735.84</v>
      </c>
      <c r="E41" s="8">
        <v>3252420.05</v>
      </c>
    </row>
    <row r="42" spans="1:5" x14ac:dyDescent="0.3">
      <c r="A42" s="6">
        <v>40</v>
      </c>
      <c r="B42" s="7" t="s">
        <v>57</v>
      </c>
      <c r="C42" s="6">
        <v>2776</v>
      </c>
      <c r="D42" s="8">
        <v>676.03</v>
      </c>
      <c r="E42" s="8">
        <v>1876664.42</v>
      </c>
    </row>
    <row r="43" spans="1:5" x14ac:dyDescent="0.3">
      <c r="A43" s="6">
        <v>41</v>
      </c>
      <c r="B43" s="7" t="s">
        <v>58</v>
      </c>
      <c r="C43" s="6">
        <v>3134</v>
      </c>
      <c r="D43" s="8">
        <v>462.17</v>
      </c>
      <c r="E43" s="8">
        <v>1448429.96</v>
      </c>
    </row>
    <row r="44" spans="1:5" x14ac:dyDescent="0.3">
      <c r="A44" s="6">
        <v>42</v>
      </c>
      <c r="B44" s="7" t="s">
        <v>59</v>
      </c>
      <c r="C44" s="6">
        <v>4251</v>
      </c>
      <c r="D44" s="8">
        <v>592.66</v>
      </c>
      <c r="E44" s="8">
        <v>2519400.35</v>
      </c>
    </row>
    <row r="45" spans="1:5" x14ac:dyDescent="0.3">
      <c r="A45" s="6">
        <v>43</v>
      </c>
      <c r="B45" s="7" t="s">
        <v>60</v>
      </c>
      <c r="C45" s="6">
        <v>4161</v>
      </c>
      <c r="D45" s="8">
        <v>540.1</v>
      </c>
      <c r="E45" s="8">
        <v>2247358.2400000002</v>
      </c>
    </row>
    <row r="46" spans="1:5" x14ac:dyDescent="0.3">
      <c r="A46" s="6">
        <v>44</v>
      </c>
      <c r="B46" s="7" t="s">
        <v>61</v>
      </c>
      <c r="C46" s="6">
        <v>3029</v>
      </c>
      <c r="D46" s="8">
        <v>538.29</v>
      </c>
      <c r="E46" s="8">
        <v>1630474.65</v>
      </c>
    </row>
    <row r="47" spans="1:5" x14ac:dyDescent="0.3">
      <c r="A47" s="6">
        <v>45</v>
      </c>
      <c r="B47" s="7" t="s">
        <v>62</v>
      </c>
      <c r="C47" s="6">
        <v>3294</v>
      </c>
      <c r="D47" s="8">
        <v>859.09</v>
      </c>
      <c r="E47" s="8">
        <v>2829829.46</v>
      </c>
    </row>
    <row r="48" spans="1:5" x14ac:dyDescent="0.3">
      <c r="A48" s="6">
        <v>46</v>
      </c>
      <c r="B48" s="7" t="s">
        <v>63</v>
      </c>
      <c r="C48" s="6">
        <v>3619</v>
      </c>
      <c r="D48" s="8">
        <v>777.53</v>
      </c>
      <c r="E48" s="8">
        <v>2813871.12</v>
      </c>
    </row>
    <row r="49" spans="1:5" x14ac:dyDescent="0.3">
      <c r="A49" s="6">
        <v>47</v>
      </c>
      <c r="B49" s="7" t="s">
        <v>64</v>
      </c>
      <c r="C49" s="6">
        <v>3349</v>
      </c>
      <c r="D49" s="8">
        <v>491.17</v>
      </c>
      <c r="E49" s="8">
        <v>1644912.37</v>
      </c>
    </row>
    <row r="50" spans="1:5" x14ac:dyDescent="0.3">
      <c r="A50" s="6">
        <v>48</v>
      </c>
      <c r="B50" s="7" t="s">
        <v>65</v>
      </c>
      <c r="C50" s="6">
        <v>1995</v>
      </c>
      <c r="D50" s="8">
        <v>753.97</v>
      </c>
      <c r="E50" s="8">
        <v>1504161.81</v>
      </c>
    </row>
    <row r="51" spans="1:5" x14ac:dyDescent="0.3">
      <c r="A51" s="6">
        <v>49</v>
      </c>
      <c r="B51" s="7" t="s">
        <v>66</v>
      </c>
      <c r="C51" s="6">
        <v>2515</v>
      </c>
      <c r="D51" s="8">
        <v>531.04</v>
      </c>
      <c r="E51" s="8">
        <v>1335561.6399999999</v>
      </c>
    </row>
    <row r="52" spans="1:5" x14ac:dyDescent="0.3">
      <c r="A52" s="6">
        <v>50</v>
      </c>
      <c r="B52" s="7" t="s">
        <v>67</v>
      </c>
      <c r="C52" s="6">
        <v>2420</v>
      </c>
      <c r="D52" s="8">
        <v>619.85</v>
      </c>
      <c r="E52" s="8">
        <v>1500029.5</v>
      </c>
    </row>
    <row r="53" spans="1:5" x14ac:dyDescent="0.3">
      <c r="A53" s="6"/>
      <c r="B53" s="10" t="s">
        <v>12</v>
      </c>
      <c r="C53" s="6">
        <f>SUM(C3:C52)</f>
        <v>162861</v>
      </c>
      <c r="D53" s="11">
        <f>SUM(D3:D52)</f>
        <v>30713.279999999995</v>
      </c>
      <c r="E53" s="11">
        <f>SUM(E3:E52)</f>
        <v>100000000.02999999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4044-04C0-492F-8B5E-3F85D3FA9A98}">
  <dimension ref="A1:C8"/>
  <sheetViews>
    <sheetView zoomScale="160" zoomScaleNormal="160" workbookViewId="0">
      <selection activeCell="E8" sqref="E8"/>
    </sheetView>
  </sheetViews>
  <sheetFormatPr defaultRowHeight="14.4" x14ac:dyDescent="0.3"/>
  <cols>
    <col min="1" max="1" width="18.5546875" bestFit="1" customWidth="1"/>
    <col min="2" max="2" width="8.88671875" style="1"/>
    <col min="3" max="3" width="14.88671875" style="1" bestFit="1" customWidth="1"/>
  </cols>
  <sheetData>
    <row r="1" spans="1:3" ht="15" x14ac:dyDescent="0.3">
      <c r="A1" s="37" t="s">
        <v>70</v>
      </c>
      <c r="B1" s="37"/>
      <c r="C1" s="37"/>
    </row>
    <row r="2" spans="1:3" ht="15" x14ac:dyDescent="0.3">
      <c r="A2" s="33" t="s">
        <v>0</v>
      </c>
      <c r="B2" s="33"/>
      <c r="C2" s="33" t="s">
        <v>1</v>
      </c>
    </row>
    <row r="3" spans="1:3" ht="15" x14ac:dyDescent="0.3">
      <c r="A3" s="27" t="s">
        <v>2</v>
      </c>
      <c r="B3" s="15" t="s">
        <v>7</v>
      </c>
      <c r="C3" s="38">
        <f>'Data File'!E53</f>
        <v>100000000.02999999</v>
      </c>
    </row>
    <row r="4" spans="1:3" ht="15" x14ac:dyDescent="0.3">
      <c r="A4" s="27" t="s">
        <v>3</v>
      </c>
      <c r="B4" s="15" t="s">
        <v>8</v>
      </c>
      <c r="C4" s="39">
        <v>10000000</v>
      </c>
    </row>
    <row r="5" spans="1:3" ht="15" x14ac:dyDescent="0.3">
      <c r="A5" s="27" t="s">
        <v>4</v>
      </c>
      <c r="B5" s="15" t="s">
        <v>7</v>
      </c>
      <c r="C5" s="40">
        <v>10</v>
      </c>
    </row>
    <row r="6" spans="1:3" ht="15" x14ac:dyDescent="0.3">
      <c r="A6" s="27" t="s">
        <v>5</v>
      </c>
      <c r="B6" s="15" t="s">
        <v>9</v>
      </c>
      <c r="C6" s="40">
        <v>20</v>
      </c>
    </row>
    <row r="7" spans="1:3" ht="15" x14ac:dyDescent="0.3">
      <c r="A7" s="27" t="s">
        <v>10</v>
      </c>
      <c r="B7" s="15" t="s">
        <v>9</v>
      </c>
      <c r="C7" s="40">
        <v>2</v>
      </c>
    </row>
    <row r="8" spans="1:3" ht="15" x14ac:dyDescent="0.3">
      <c r="A8" s="27" t="s">
        <v>6</v>
      </c>
      <c r="B8" s="15" t="s">
        <v>9</v>
      </c>
      <c r="C8" s="40">
        <v>80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B26E-EE4D-4C6C-9AF0-2085248B7D8A}">
  <dimension ref="A2:W34"/>
  <sheetViews>
    <sheetView tabSelected="1" zoomScaleNormal="100" workbookViewId="0">
      <selection activeCell="C13" sqref="C13"/>
    </sheetView>
  </sheetViews>
  <sheetFormatPr defaultColWidth="33.88671875" defaultRowHeight="15.6" x14ac:dyDescent="0.3"/>
  <cols>
    <col min="1" max="1" width="26" style="22" customWidth="1"/>
    <col min="2" max="23" width="26" style="20" customWidth="1"/>
    <col min="24" max="16384" width="33.88671875" style="20"/>
  </cols>
  <sheetData>
    <row r="2" spans="1:23" x14ac:dyDescent="0.3">
      <c r="A2" s="26" t="s">
        <v>68</v>
      </c>
      <c r="B2" s="23"/>
      <c r="C2" s="23" t="s">
        <v>72</v>
      </c>
      <c r="D2" s="30" t="s">
        <v>74</v>
      </c>
      <c r="E2" s="29" t="s">
        <v>127</v>
      </c>
      <c r="F2" s="23" t="s">
        <v>76</v>
      </c>
      <c r="G2" s="23" t="s">
        <v>78</v>
      </c>
      <c r="H2" s="23" t="s">
        <v>80</v>
      </c>
      <c r="I2" s="23" t="s">
        <v>82</v>
      </c>
      <c r="J2" s="23" t="s">
        <v>84</v>
      </c>
      <c r="K2" s="23" t="s">
        <v>86</v>
      </c>
      <c r="L2" s="23" t="s">
        <v>88</v>
      </c>
      <c r="M2" s="23" t="s">
        <v>90</v>
      </c>
      <c r="N2" s="23" t="s">
        <v>92</v>
      </c>
      <c r="O2" s="23" t="s">
        <v>94</v>
      </c>
      <c r="P2" s="23" t="s">
        <v>96</v>
      </c>
      <c r="Q2" s="23" t="s">
        <v>98</v>
      </c>
      <c r="R2" s="23" t="s">
        <v>100</v>
      </c>
      <c r="S2" s="23" t="s">
        <v>102</v>
      </c>
      <c r="T2" s="23" t="s">
        <v>104</v>
      </c>
      <c r="U2" s="23" t="s">
        <v>106</v>
      </c>
      <c r="V2" s="23" t="s">
        <v>108</v>
      </c>
      <c r="W2" s="23" t="s">
        <v>110</v>
      </c>
    </row>
    <row r="3" spans="1:23" x14ac:dyDescent="0.3">
      <c r="A3" s="27" t="s">
        <v>11</v>
      </c>
      <c r="B3" s="18"/>
      <c r="C3" s="24" t="s">
        <v>73</v>
      </c>
      <c r="D3" s="24" t="s">
        <v>75</v>
      </c>
      <c r="E3" s="24" t="s">
        <v>128</v>
      </c>
      <c r="F3" s="24" t="s">
        <v>77</v>
      </c>
      <c r="G3" s="24" t="s">
        <v>79</v>
      </c>
      <c r="H3" s="24" t="s">
        <v>81</v>
      </c>
      <c r="I3" s="24" t="s">
        <v>83</v>
      </c>
      <c r="J3" s="24" t="s">
        <v>85</v>
      </c>
      <c r="K3" s="24" t="s">
        <v>87</v>
      </c>
      <c r="L3" s="24" t="s">
        <v>89</v>
      </c>
      <c r="M3" s="24" t="s">
        <v>91</v>
      </c>
      <c r="N3" s="24" t="s">
        <v>93</v>
      </c>
      <c r="O3" s="24" t="s">
        <v>95</v>
      </c>
      <c r="P3" s="24" t="s">
        <v>97</v>
      </c>
      <c r="Q3" s="24" t="s">
        <v>99</v>
      </c>
      <c r="R3" s="24" t="s">
        <v>101</v>
      </c>
      <c r="S3" s="24" t="s">
        <v>103</v>
      </c>
      <c r="T3" s="24" t="s">
        <v>105</v>
      </c>
      <c r="U3" s="24" t="s">
        <v>107</v>
      </c>
      <c r="V3" s="24" t="s">
        <v>109</v>
      </c>
      <c r="W3" s="24" t="s">
        <v>111</v>
      </c>
    </row>
    <row r="4" spans="1:23" x14ac:dyDescent="0.3">
      <c r="A4" s="27" t="s">
        <v>71</v>
      </c>
      <c r="B4" s="18"/>
      <c r="C4" s="21">
        <v>0.12</v>
      </c>
      <c r="D4" s="21">
        <v>0.1</v>
      </c>
      <c r="E4" s="41" t="s">
        <v>130</v>
      </c>
      <c r="F4" s="21">
        <v>0.08</v>
      </c>
      <c r="G4" s="21">
        <v>7.0000000000000007E-2</v>
      </c>
      <c r="H4" s="21">
        <v>0.06</v>
      </c>
      <c r="I4" s="21">
        <v>7.0000000000000007E-2</v>
      </c>
      <c r="J4" s="21">
        <v>0.05</v>
      </c>
      <c r="K4" s="21">
        <v>0.05</v>
      </c>
      <c r="L4" s="21">
        <v>0.05</v>
      </c>
      <c r="M4" s="21">
        <v>0.04</v>
      </c>
      <c r="N4" s="21">
        <v>0.04</v>
      </c>
      <c r="O4" s="21">
        <v>0.04</v>
      </c>
      <c r="P4" s="21">
        <v>0.03</v>
      </c>
      <c r="Q4" s="21">
        <v>0.03</v>
      </c>
      <c r="R4" s="21">
        <v>0.03</v>
      </c>
      <c r="S4" s="21">
        <v>0.02</v>
      </c>
      <c r="T4" s="21">
        <v>0.02</v>
      </c>
      <c r="U4" s="21">
        <v>0.02</v>
      </c>
      <c r="V4" s="21">
        <v>0.02</v>
      </c>
      <c r="W4" s="21">
        <v>0.02</v>
      </c>
    </row>
    <row r="5" spans="1:23" x14ac:dyDescent="0.3">
      <c r="A5" s="27" t="s">
        <v>112</v>
      </c>
      <c r="B5" s="24">
        <f>SUM(C5:W5)</f>
        <v>100000000</v>
      </c>
      <c r="C5" s="19">
        <v>12000000</v>
      </c>
      <c r="D5" s="19">
        <v>10000000</v>
      </c>
      <c r="E5" s="41"/>
      <c r="F5" s="19">
        <v>9000000</v>
      </c>
      <c r="G5" s="19">
        <v>8000000</v>
      </c>
      <c r="H5" s="19">
        <v>8000000</v>
      </c>
      <c r="I5" s="19">
        <v>7000000</v>
      </c>
      <c r="J5" s="19">
        <v>5000000</v>
      </c>
      <c r="K5" s="19">
        <v>5000000</v>
      </c>
      <c r="L5" s="19">
        <v>5000000</v>
      </c>
      <c r="M5" s="19">
        <v>4000000</v>
      </c>
      <c r="N5" s="19">
        <v>4000000</v>
      </c>
      <c r="O5" s="19">
        <v>4000000</v>
      </c>
      <c r="P5" s="19">
        <v>3000000</v>
      </c>
      <c r="Q5" s="19">
        <v>3000000</v>
      </c>
      <c r="R5" s="19">
        <v>3000000</v>
      </c>
      <c r="S5" s="19">
        <v>2000000</v>
      </c>
      <c r="T5" s="19">
        <v>2000000</v>
      </c>
      <c r="U5" s="19">
        <v>2000000</v>
      </c>
      <c r="V5" s="19">
        <v>2000000</v>
      </c>
      <c r="W5" s="19">
        <v>2000000</v>
      </c>
    </row>
    <row r="6" spans="1:23" x14ac:dyDescent="0.3">
      <c r="A6" s="27" t="s">
        <v>113</v>
      </c>
      <c r="B6" s="24">
        <f>SUM(C6:W6)</f>
        <v>10000000</v>
      </c>
      <c r="C6" s="25">
        <f>C5/Assumptions!$C$5</f>
        <v>1200000</v>
      </c>
      <c r="D6" s="25">
        <f>D5/Assumptions!$C$5</f>
        <v>1000000</v>
      </c>
      <c r="E6" s="41"/>
      <c r="F6" s="25">
        <f>F5/Assumptions!$C$5</f>
        <v>900000</v>
      </c>
      <c r="G6" s="25">
        <f>G5/Assumptions!$C$5</f>
        <v>800000</v>
      </c>
      <c r="H6" s="25">
        <f>H5/Assumptions!$C$5</f>
        <v>800000</v>
      </c>
      <c r="I6" s="25">
        <f>I5/Assumptions!$C$5</f>
        <v>700000</v>
      </c>
      <c r="J6" s="25">
        <f>J5/Assumptions!$C$5</f>
        <v>500000</v>
      </c>
      <c r="K6" s="25">
        <f>K5/Assumptions!$C$5</f>
        <v>500000</v>
      </c>
      <c r="L6" s="25">
        <f>L5/Assumptions!$C$5</f>
        <v>500000</v>
      </c>
      <c r="M6" s="25">
        <f>M5/Assumptions!$C$5</f>
        <v>400000</v>
      </c>
      <c r="N6" s="25">
        <f>N5/Assumptions!$C$5</f>
        <v>400000</v>
      </c>
      <c r="O6" s="25">
        <f>O5/Assumptions!$C$5</f>
        <v>400000</v>
      </c>
      <c r="P6" s="25">
        <f>P5/Assumptions!$C$5</f>
        <v>300000</v>
      </c>
      <c r="Q6" s="25">
        <f>Q5/Assumptions!$C$5</f>
        <v>300000</v>
      </c>
      <c r="R6" s="25">
        <f>R5/Assumptions!$C$5</f>
        <v>300000</v>
      </c>
      <c r="S6" s="25">
        <f>S5/Assumptions!$C$5</f>
        <v>200000</v>
      </c>
      <c r="T6" s="25">
        <f>T5/Assumptions!$C$5</f>
        <v>200000</v>
      </c>
      <c r="U6" s="25">
        <f>U5/Assumptions!$C$5</f>
        <v>200000</v>
      </c>
      <c r="V6" s="25">
        <f>V5/Assumptions!$C$5</f>
        <v>200000</v>
      </c>
      <c r="W6" s="25">
        <f>W5/Assumptions!$C$5</f>
        <v>200000</v>
      </c>
    </row>
    <row r="7" spans="1:23" x14ac:dyDescent="0.3">
      <c r="A7" s="27" t="s">
        <v>124</v>
      </c>
      <c r="B7" s="31">
        <v>0.02</v>
      </c>
      <c r="C7" s="25">
        <f>C5*$B$7</f>
        <v>240000</v>
      </c>
      <c r="D7" s="25">
        <f t="shared" ref="D7:W7" si="0">D5*$B$7</f>
        <v>200000</v>
      </c>
      <c r="E7" s="41"/>
      <c r="F7" s="25">
        <f t="shared" si="0"/>
        <v>180000</v>
      </c>
      <c r="G7" s="25">
        <f t="shared" si="0"/>
        <v>160000</v>
      </c>
      <c r="H7" s="25">
        <f t="shared" si="0"/>
        <v>160000</v>
      </c>
      <c r="I7" s="25">
        <f t="shared" si="0"/>
        <v>140000</v>
      </c>
      <c r="J7" s="25">
        <f t="shared" si="0"/>
        <v>100000</v>
      </c>
      <c r="K7" s="25">
        <f t="shared" si="0"/>
        <v>100000</v>
      </c>
      <c r="L7" s="25">
        <f t="shared" si="0"/>
        <v>100000</v>
      </c>
      <c r="M7" s="25">
        <f t="shared" si="0"/>
        <v>80000</v>
      </c>
      <c r="N7" s="25">
        <f t="shared" si="0"/>
        <v>80000</v>
      </c>
      <c r="O7" s="25">
        <f t="shared" si="0"/>
        <v>80000</v>
      </c>
      <c r="P7" s="25">
        <f t="shared" si="0"/>
        <v>60000</v>
      </c>
      <c r="Q7" s="25">
        <f t="shared" si="0"/>
        <v>60000</v>
      </c>
      <c r="R7" s="25">
        <f t="shared" si="0"/>
        <v>60000</v>
      </c>
      <c r="S7" s="25">
        <f t="shared" si="0"/>
        <v>40000</v>
      </c>
      <c r="T7" s="25">
        <f t="shared" si="0"/>
        <v>40000</v>
      </c>
      <c r="U7" s="25">
        <f t="shared" si="0"/>
        <v>40000</v>
      </c>
      <c r="V7" s="25">
        <f t="shared" si="0"/>
        <v>40000</v>
      </c>
      <c r="W7" s="25">
        <f t="shared" si="0"/>
        <v>40000</v>
      </c>
    </row>
    <row r="8" spans="1:23" x14ac:dyDescent="0.3">
      <c r="A8" s="27"/>
      <c r="B8" s="31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1:23" x14ac:dyDescent="0.3">
      <c r="A9" s="27" t="s">
        <v>129</v>
      </c>
      <c r="B9" s="31"/>
      <c r="C9" s="25"/>
      <c r="D9" s="31">
        <v>0.05</v>
      </c>
      <c r="E9" s="31">
        <v>0.05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x14ac:dyDescent="0.3">
      <c r="A10" s="27" t="s">
        <v>112</v>
      </c>
      <c r="B10" s="31"/>
      <c r="C10" s="25"/>
      <c r="D10" s="25"/>
      <c r="E10" s="25">
        <f>B22*(D6/2)</f>
        <v>6655000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1:23" x14ac:dyDescent="0.3">
      <c r="A11" s="27" t="s">
        <v>113</v>
      </c>
      <c r="B11" s="31"/>
      <c r="C11" s="25"/>
      <c r="D11" s="25">
        <f>D6/2</f>
        <v>500000</v>
      </c>
      <c r="E11" s="25">
        <f>D6/2</f>
        <v>500000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x14ac:dyDescent="0.3">
      <c r="A12" s="27" t="s">
        <v>124</v>
      </c>
      <c r="B12" s="31">
        <v>0.02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1:23" x14ac:dyDescent="0.3">
      <c r="A13" s="12"/>
      <c r="B13" s="28"/>
    </row>
    <row r="14" spans="1:23" x14ac:dyDescent="0.3">
      <c r="A14" s="12"/>
      <c r="B14" s="13" t="s">
        <v>116</v>
      </c>
    </row>
    <row r="15" spans="1:23" x14ac:dyDescent="0.3">
      <c r="A15" s="27" t="s">
        <v>114</v>
      </c>
      <c r="B15" s="24">
        <f>SUM(C15:W15)</f>
        <v>100000000</v>
      </c>
      <c r="C15" s="42">
        <f>C5</f>
        <v>12000000</v>
      </c>
      <c r="D15" s="43">
        <f t="shared" ref="D15:W15" si="1">D5</f>
        <v>10000000</v>
      </c>
      <c r="E15" s="43"/>
      <c r="F15" s="43">
        <f t="shared" si="1"/>
        <v>9000000</v>
      </c>
      <c r="G15" s="43">
        <f t="shared" si="1"/>
        <v>8000000</v>
      </c>
      <c r="H15" s="43">
        <f t="shared" si="1"/>
        <v>8000000</v>
      </c>
      <c r="I15" s="43">
        <f t="shared" si="1"/>
        <v>7000000</v>
      </c>
      <c r="J15" s="43">
        <f t="shared" si="1"/>
        <v>5000000</v>
      </c>
      <c r="K15" s="43">
        <f t="shared" si="1"/>
        <v>5000000</v>
      </c>
      <c r="L15" s="43">
        <f t="shared" si="1"/>
        <v>5000000</v>
      </c>
      <c r="M15" s="43">
        <f t="shared" si="1"/>
        <v>4000000</v>
      </c>
      <c r="N15" s="43">
        <f t="shared" si="1"/>
        <v>4000000</v>
      </c>
      <c r="O15" s="43">
        <f t="shared" si="1"/>
        <v>4000000</v>
      </c>
      <c r="P15" s="43">
        <f t="shared" si="1"/>
        <v>3000000</v>
      </c>
      <c r="Q15" s="43">
        <f t="shared" si="1"/>
        <v>3000000</v>
      </c>
      <c r="R15" s="43">
        <f t="shared" si="1"/>
        <v>3000000</v>
      </c>
      <c r="S15" s="43">
        <f t="shared" si="1"/>
        <v>2000000</v>
      </c>
      <c r="T15" s="43">
        <f t="shared" si="1"/>
        <v>2000000</v>
      </c>
      <c r="U15" s="43">
        <f t="shared" si="1"/>
        <v>2000000</v>
      </c>
      <c r="V15" s="43">
        <f t="shared" si="1"/>
        <v>2000000</v>
      </c>
      <c r="W15" s="43">
        <f t="shared" si="1"/>
        <v>2000000</v>
      </c>
    </row>
    <row r="16" spans="1:23" x14ac:dyDescent="0.3">
      <c r="A16" s="27" t="s">
        <v>123</v>
      </c>
      <c r="B16" s="24">
        <f>B15/$B$6</f>
        <v>10</v>
      </c>
      <c r="C16" s="44">
        <v>0.1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3">
      <c r="A17" s="27" t="s">
        <v>115</v>
      </c>
      <c r="B17" s="24">
        <f>SUM(C17:W17)</f>
        <v>110000000</v>
      </c>
      <c r="C17" s="42">
        <f>($C$16*C15)+C15</f>
        <v>13200000</v>
      </c>
      <c r="D17" s="42">
        <f t="shared" ref="D17:W29" si="2">($C$16*D15)+D15</f>
        <v>11000000</v>
      </c>
      <c r="E17" s="42"/>
      <c r="F17" s="42">
        <f t="shared" si="2"/>
        <v>9900000</v>
      </c>
      <c r="G17" s="42">
        <f t="shared" si="2"/>
        <v>8800000</v>
      </c>
      <c r="H17" s="42">
        <f t="shared" si="2"/>
        <v>8800000</v>
      </c>
      <c r="I17" s="42">
        <f t="shared" si="2"/>
        <v>7700000</v>
      </c>
      <c r="J17" s="42">
        <f t="shared" si="2"/>
        <v>5500000</v>
      </c>
      <c r="K17" s="42">
        <f t="shared" si="2"/>
        <v>5500000</v>
      </c>
      <c r="L17" s="42">
        <f t="shared" si="2"/>
        <v>5500000</v>
      </c>
      <c r="M17" s="42">
        <f t="shared" si="2"/>
        <v>4400000</v>
      </c>
      <c r="N17" s="42">
        <f t="shared" si="2"/>
        <v>4400000</v>
      </c>
      <c r="O17" s="42">
        <f t="shared" si="2"/>
        <v>4400000</v>
      </c>
      <c r="P17" s="42">
        <f t="shared" si="2"/>
        <v>3300000</v>
      </c>
      <c r="Q17" s="42">
        <f t="shared" si="2"/>
        <v>3300000</v>
      </c>
      <c r="R17" s="42">
        <f t="shared" si="2"/>
        <v>3300000</v>
      </c>
      <c r="S17" s="42">
        <f t="shared" si="2"/>
        <v>2200000</v>
      </c>
      <c r="T17" s="42">
        <f t="shared" si="2"/>
        <v>2200000</v>
      </c>
      <c r="U17" s="42">
        <f t="shared" si="2"/>
        <v>2200000</v>
      </c>
      <c r="V17" s="42">
        <f t="shared" si="2"/>
        <v>2200000</v>
      </c>
      <c r="W17" s="42">
        <f t="shared" si="2"/>
        <v>2200000</v>
      </c>
    </row>
    <row r="18" spans="1:23" x14ac:dyDescent="0.3">
      <c r="A18" s="27" t="s">
        <v>123</v>
      </c>
      <c r="B18" s="24">
        <f>B17/$B$6</f>
        <v>11</v>
      </c>
      <c r="C18" s="44">
        <v>0.1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3">
      <c r="A19" s="27" t="s">
        <v>117</v>
      </c>
      <c r="B19" s="24">
        <f>SUM(C19:W19)</f>
        <v>121000000</v>
      </c>
      <c r="C19" s="42">
        <f>($C$16*C17)+C17</f>
        <v>14520000</v>
      </c>
      <c r="D19" s="42">
        <f t="shared" si="2"/>
        <v>12100000</v>
      </c>
      <c r="E19" s="42"/>
      <c r="F19" s="42">
        <f t="shared" si="2"/>
        <v>10890000</v>
      </c>
      <c r="G19" s="42">
        <f t="shared" si="2"/>
        <v>9680000</v>
      </c>
      <c r="H19" s="42">
        <f t="shared" si="2"/>
        <v>9680000</v>
      </c>
      <c r="I19" s="42">
        <f t="shared" si="2"/>
        <v>8470000</v>
      </c>
      <c r="J19" s="42">
        <f t="shared" si="2"/>
        <v>6050000</v>
      </c>
      <c r="K19" s="42">
        <f t="shared" si="2"/>
        <v>6050000</v>
      </c>
      <c r="L19" s="42">
        <f t="shared" si="2"/>
        <v>6050000</v>
      </c>
      <c r="M19" s="42">
        <f t="shared" si="2"/>
        <v>4840000</v>
      </c>
      <c r="N19" s="42">
        <f t="shared" si="2"/>
        <v>4840000</v>
      </c>
      <c r="O19" s="42">
        <f t="shared" si="2"/>
        <v>4840000</v>
      </c>
      <c r="P19" s="42">
        <f t="shared" si="2"/>
        <v>3630000</v>
      </c>
      <c r="Q19" s="42">
        <f t="shared" si="2"/>
        <v>3630000</v>
      </c>
      <c r="R19" s="42">
        <f t="shared" si="2"/>
        <v>3630000</v>
      </c>
      <c r="S19" s="42">
        <f t="shared" si="2"/>
        <v>2420000</v>
      </c>
      <c r="T19" s="42">
        <f t="shared" si="2"/>
        <v>2420000</v>
      </c>
      <c r="U19" s="42">
        <f t="shared" si="2"/>
        <v>2420000</v>
      </c>
      <c r="V19" s="42">
        <f t="shared" si="2"/>
        <v>2420000</v>
      </c>
      <c r="W19" s="42">
        <f t="shared" si="2"/>
        <v>2420000</v>
      </c>
    </row>
    <row r="20" spans="1:23" x14ac:dyDescent="0.3">
      <c r="A20" s="27" t="s">
        <v>123</v>
      </c>
      <c r="B20" s="24">
        <f>B19/$B$6</f>
        <v>12.1</v>
      </c>
      <c r="C20" s="44">
        <v>0.1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3">
      <c r="A21" s="27" t="s">
        <v>118</v>
      </c>
      <c r="B21" s="24">
        <f>SUM(C21:W21)</f>
        <v>133100000</v>
      </c>
      <c r="C21" s="42">
        <f>($C$16*C19)+C19</f>
        <v>15972000</v>
      </c>
      <c r="D21" s="42">
        <f t="shared" si="2"/>
        <v>13310000</v>
      </c>
      <c r="E21" s="42"/>
      <c r="F21" s="42">
        <f t="shared" si="2"/>
        <v>11979000</v>
      </c>
      <c r="G21" s="42">
        <f t="shared" si="2"/>
        <v>10648000</v>
      </c>
      <c r="H21" s="42">
        <f t="shared" si="2"/>
        <v>10648000</v>
      </c>
      <c r="I21" s="42">
        <f t="shared" si="2"/>
        <v>9317000</v>
      </c>
      <c r="J21" s="42">
        <f t="shared" si="2"/>
        <v>6655000</v>
      </c>
      <c r="K21" s="42">
        <f t="shared" si="2"/>
        <v>6655000</v>
      </c>
      <c r="L21" s="42">
        <f t="shared" si="2"/>
        <v>6655000</v>
      </c>
      <c r="M21" s="42">
        <f t="shared" si="2"/>
        <v>5324000</v>
      </c>
      <c r="N21" s="42">
        <f t="shared" si="2"/>
        <v>5324000</v>
      </c>
      <c r="O21" s="42">
        <f t="shared" si="2"/>
        <v>5324000</v>
      </c>
      <c r="P21" s="42">
        <f t="shared" si="2"/>
        <v>3993000</v>
      </c>
      <c r="Q21" s="42">
        <f t="shared" si="2"/>
        <v>3993000</v>
      </c>
      <c r="R21" s="42">
        <f t="shared" si="2"/>
        <v>3993000</v>
      </c>
      <c r="S21" s="42">
        <f t="shared" si="2"/>
        <v>2662000</v>
      </c>
      <c r="T21" s="42">
        <f t="shared" si="2"/>
        <v>2662000</v>
      </c>
      <c r="U21" s="42">
        <f t="shared" si="2"/>
        <v>2662000</v>
      </c>
      <c r="V21" s="42">
        <f t="shared" si="2"/>
        <v>2662000</v>
      </c>
      <c r="W21" s="42">
        <f t="shared" si="2"/>
        <v>2662000</v>
      </c>
    </row>
    <row r="22" spans="1:23" x14ac:dyDescent="0.3">
      <c r="A22" s="27" t="s">
        <v>123</v>
      </c>
      <c r="B22" s="24">
        <f>B21/$B$6</f>
        <v>13.31</v>
      </c>
      <c r="C22" s="44">
        <v>0.1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 x14ac:dyDescent="0.3">
      <c r="A23" s="27" t="s">
        <v>119</v>
      </c>
      <c r="B23" s="24">
        <f>SUM(C23:W23)</f>
        <v>146410000</v>
      </c>
      <c r="C23" s="42">
        <f>($C$16*C21)+C21</f>
        <v>17569200</v>
      </c>
      <c r="D23" s="42">
        <f>($C$16*D21)+D21-E10</f>
        <v>7986000</v>
      </c>
      <c r="E23" s="42">
        <f>E10</f>
        <v>6655000</v>
      </c>
      <c r="F23" s="42">
        <f t="shared" si="2"/>
        <v>13176900</v>
      </c>
      <c r="G23" s="42">
        <f t="shared" si="2"/>
        <v>11712800</v>
      </c>
      <c r="H23" s="42">
        <f t="shared" si="2"/>
        <v>11712800</v>
      </c>
      <c r="I23" s="42">
        <f t="shared" si="2"/>
        <v>10248700</v>
      </c>
      <c r="J23" s="42">
        <f t="shared" si="2"/>
        <v>7320500</v>
      </c>
      <c r="K23" s="42">
        <f t="shared" si="2"/>
        <v>7320500</v>
      </c>
      <c r="L23" s="42">
        <f t="shared" si="2"/>
        <v>7320500</v>
      </c>
      <c r="M23" s="42">
        <f t="shared" si="2"/>
        <v>5856400</v>
      </c>
      <c r="N23" s="42">
        <f t="shared" si="2"/>
        <v>5856400</v>
      </c>
      <c r="O23" s="42">
        <f t="shared" si="2"/>
        <v>5856400</v>
      </c>
      <c r="P23" s="42">
        <f t="shared" si="2"/>
        <v>4392300</v>
      </c>
      <c r="Q23" s="42">
        <f t="shared" si="2"/>
        <v>4392300</v>
      </c>
      <c r="R23" s="42">
        <f t="shared" si="2"/>
        <v>4392300</v>
      </c>
      <c r="S23" s="42">
        <f t="shared" si="2"/>
        <v>2928200</v>
      </c>
      <c r="T23" s="42">
        <f t="shared" si="2"/>
        <v>2928200</v>
      </c>
      <c r="U23" s="42">
        <f t="shared" si="2"/>
        <v>2928200</v>
      </c>
      <c r="V23" s="42">
        <f t="shared" si="2"/>
        <v>2928200</v>
      </c>
      <c r="W23" s="42">
        <f t="shared" si="2"/>
        <v>2928200</v>
      </c>
    </row>
    <row r="24" spans="1:23" x14ac:dyDescent="0.3">
      <c r="A24" s="27" t="s">
        <v>123</v>
      </c>
      <c r="B24" s="24">
        <f>B23/$B$6</f>
        <v>14.641</v>
      </c>
      <c r="C24" s="44">
        <v>0.1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1:23" x14ac:dyDescent="0.3">
      <c r="A25" s="27" t="s">
        <v>120</v>
      </c>
      <c r="B25" s="24">
        <f>SUM(C25:W25)</f>
        <v>161051000</v>
      </c>
      <c r="C25" s="42">
        <f>($C$16*C23)+C23</f>
        <v>19326120</v>
      </c>
      <c r="D25" s="42">
        <f t="shared" si="2"/>
        <v>8784600</v>
      </c>
      <c r="E25" s="42">
        <f t="shared" ref="E25" si="3">($C$16*E23)+E23</f>
        <v>7320500</v>
      </c>
      <c r="F25" s="42">
        <f t="shared" si="2"/>
        <v>14494590</v>
      </c>
      <c r="G25" s="42">
        <f t="shared" si="2"/>
        <v>12884080</v>
      </c>
      <c r="H25" s="42">
        <f t="shared" si="2"/>
        <v>12884080</v>
      </c>
      <c r="I25" s="42">
        <f t="shared" si="2"/>
        <v>11273570</v>
      </c>
      <c r="J25" s="42">
        <f t="shared" si="2"/>
        <v>8052550</v>
      </c>
      <c r="K25" s="42">
        <f t="shared" si="2"/>
        <v>8052550</v>
      </c>
      <c r="L25" s="42">
        <f t="shared" si="2"/>
        <v>8052550</v>
      </c>
      <c r="M25" s="42">
        <f t="shared" si="2"/>
        <v>6442040</v>
      </c>
      <c r="N25" s="42">
        <f t="shared" si="2"/>
        <v>6442040</v>
      </c>
      <c r="O25" s="42">
        <f t="shared" si="2"/>
        <v>6442040</v>
      </c>
      <c r="P25" s="42">
        <f t="shared" si="2"/>
        <v>4831530</v>
      </c>
      <c r="Q25" s="42">
        <f t="shared" si="2"/>
        <v>4831530</v>
      </c>
      <c r="R25" s="42">
        <f t="shared" si="2"/>
        <v>4831530</v>
      </c>
      <c r="S25" s="42">
        <f t="shared" si="2"/>
        <v>3221020</v>
      </c>
      <c r="T25" s="42">
        <f t="shared" si="2"/>
        <v>3221020</v>
      </c>
      <c r="U25" s="42">
        <f t="shared" si="2"/>
        <v>3221020</v>
      </c>
      <c r="V25" s="42">
        <f t="shared" si="2"/>
        <v>3221020</v>
      </c>
      <c r="W25" s="42">
        <f t="shared" si="2"/>
        <v>3221020</v>
      </c>
    </row>
    <row r="26" spans="1:23" x14ac:dyDescent="0.3">
      <c r="A26" s="27" t="s">
        <v>123</v>
      </c>
      <c r="B26" s="24">
        <f>B25/$B$6</f>
        <v>16.1051</v>
      </c>
      <c r="C26" s="44">
        <v>0.1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 x14ac:dyDescent="0.3">
      <c r="A27" s="27" t="s">
        <v>121</v>
      </c>
      <c r="B27" s="24">
        <f>SUM(C27:W27)</f>
        <v>177156100</v>
      </c>
      <c r="C27" s="42">
        <f>($C$16*C25)+C25</f>
        <v>21258732</v>
      </c>
      <c r="D27" s="42">
        <f t="shared" si="2"/>
        <v>9663060</v>
      </c>
      <c r="E27" s="42">
        <f t="shared" ref="E27" si="4">($C$16*E25)+E25</f>
        <v>8052550</v>
      </c>
      <c r="F27" s="42">
        <f t="shared" si="2"/>
        <v>15944049</v>
      </c>
      <c r="G27" s="42">
        <f t="shared" si="2"/>
        <v>14172488</v>
      </c>
      <c r="H27" s="42">
        <f t="shared" si="2"/>
        <v>14172488</v>
      </c>
      <c r="I27" s="42">
        <f t="shared" si="2"/>
        <v>12400927</v>
      </c>
      <c r="J27" s="42">
        <f t="shared" si="2"/>
        <v>8857805</v>
      </c>
      <c r="K27" s="42">
        <f t="shared" si="2"/>
        <v>8857805</v>
      </c>
      <c r="L27" s="42">
        <f t="shared" si="2"/>
        <v>8857805</v>
      </c>
      <c r="M27" s="42">
        <f t="shared" si="2"/>
        <v>7086244</v>
      </c>
      <c r="N27" s="42">
        <f t="shared" si="2"/>
        <v>7086244</v>
      </c>
      <c r="O27" s="42">
        <f t="shared" si="2"/>
        <v>7086244</v>
      </c>
      <c r="P27" s="42">
        <f t="shared" si="2"/>
        <v>5314683</v>
      </c>
      <c r="Q27" s="42">
        <f t="shared" si="2"/>
        <v>5314683</v>
      </c>
      <c r="R27" s="42">
        <f t="shared" si="2"/>
        <v>5314683</v>
      </c>
      <c r="S27" s="42">
        <f t="shared" si="2"/>
        <v>3543122</v>
      </c>
      <c r="T27" s="42">
        <f t="shared" si="2"/>
        <v>3543122</v>
      </c>
      <c r="U27" s="42">
        <f t="shared" si="2"/>
        <v>3543122</v>
      </c>
      <c r="V27" s="42">
        <f t="shared" si="2"/>
        <v>3543122</v>
      </c>
      <c r="W27" s="42">
        <f t="shared" si="2"/>
        <v>3543122</v>
      </c>
    </row>
    <row r="28" spans="1:23" x14ac:dyDescent="0.3">
      <c r="A28" s="27" t="s">
        <v>123</v>
      </c>
      <c r="B28" s="24">
        <f>B27/$B$6</f>
        <v>17.715610000000002</v>
      </c>
      <c r="C28" s="44">
        <v>0.1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 x14ac:dyDescent="0.3">
      <c r="A29" s="27" t="s">
        <v>122</v>
      </c>
      <c r="B29" s="24">
        <f>SUM(C29:W29)</f>
        <v>194871710</v>
      </c>
      <c r="C29" s="42">
        <f>($C$16*C27)+C27</f>
        <v>23384605.199999999</v>
      </c>
      <c r="D29" s="42">
        <f t="shared" si="2"/>
        <v>10629366</v>
      </c>
      <c r="E29" s="42">
        <f t="shared" ref="E29" si="5">($C$16*E27)+E27</f>
        <v>8857805</v>
      </c>
      <c r="F29" s="42">
        <f t="shared" si="2"/>
        <v>17538453.899999999</v>
      </c>
      <c r="G29" s="42">
        <f t="shared" si="2"/>
        <v>15589736.800000001</v>
      </c>
      <c r="H29" s="42">
        <f t="shared" si="2"/>
        <v>15589736.800000001</v>
      </c>
      <c r="I29" s="42">
        <f t="shared" si="2"/>
        <v>13641019.699999999</v>
      </c>
      <c r="J29" s="42">
        <f t="shared" si="2"/>
        <v>9743585.5</v>
      </c>
      <c r="K29" s="42">
        <f t="shared" si="2"/>
        <v>9743585.5</v>
      </c>
      <c r="L29" s="42">
        <f t="shared" si="2"/>
        <v>9743585.5</v>
      </c>
      <c r="M29" s="42">
        <f t="shared" si="2"/>
        <v>7794868.4000000004</v>
      </c>
      <c r="N29" s="42">
        <f t="shared" si="2"/>
        <v>7794868.4000000004</v>
      </c>
      <c r="O29" s="42">
        <f t="shared" si="2"/>
        <v>7794868.4000000004</v>
      </c>
      <c r="P29" s="42">
        <f t="shared" si="2"/>
        <v>5846151.2999999998</v>
      </c>
      <c r="Q29" s="42">
        <f t="shared" si="2"/>
        <v>5846151.2999999998</v>
      </c>
      <c r="R29" s="42">
        <f t="shared" si="2"/>
        <v>5846151.2999999998</v>
      </c>
      <c r="S29" s="42">
        <f t="shared" si="2"/>
        <v>3897434.2</v>
      </c>
      <c r="T29" s="42">
        <f t="shared" si="2"/>
        <v>3897434.2</v>
      </c>
      <c r="U29" s="42">
        <f t="shared" si="2"/>
        <v>3897434.2</v>
      </c>
      <c r="V29" s="42">
        <f t="shared" si="2"/>
        <v>3897434.2</v>
      </c>
      <c r="W29" s="42">
        <f t="shared" si="2"/>
        <v>3897434.2</v>
      </c>
    </row>
    <row r="30" spans="1:23" x14ac:dyDescent="0.3">
      <c r="A30" s="32"/>
      <c r="B30" s="24">
        <f>B29/$B$6</f>
        <v>19.487171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2" spans="1:23" x14ac:dyDescent="0.3">
      <c r="A32" s="32" t="s">
        <v>13</v>
      </c>
      <c r="B32" s="24">
        <f>SUM(C32:W32)</f>
        <v>94871710.00000003</v>
      </c>
      <c r="C32" s="25">
        <f>C29-C15</f>
        <v>11384605.199999999</v>
      </c>
      <c r="D32" s="25">
        <f t="shared" ref="D32:W32" si="6">D29-D15</f>
        <v>629366</v>
      </c>
      <c r="E32" s="25">
        <f t="shared" ref="E32" si="7">E29-E15</f>
        <v>8857805</v>
      </c>
      <c r="F32" s="25">
        <f t="shared" si="6"/>
        <v>8538453.8999999985</v>
      </c>
      <c r="G32" s="25">
        <f t="shared" si="6"/>
        <v>7589736.8000000007</v>
      </c>
      <c r="H32" s="25">
        <f t="shared" si="6"/>
        <v>7589736.8000000007</v>
      </c>
      <c r="I32" s="25">
        <f t="shared" si="6"/>
        <v>6641019.6999999993</v>
      </c>
      <c r="J32" s="25">
        <f t="shared" si="6"/>
        <v>4743585.5</v>
      </c>
      <c r="K32" s="25">
        <f t="shared" si="6"/>
        <v>4743585.5</v>
      </c>
      <c r="L32" s="25">
        <f t="shared" si="6"/>
        <v>4743585.5</v>
      </c>
      <c r="M32" s="25">
        <f t="shared" si="6"/>
        <v>3794868.4000000004</v>
      </c>
      <c r="N32" s="25">
        <f t="shared" si="6"/>
        <v>3794868.4000000004</v>
      </c>
      <c r="O32" s="25">
        <f t="shared" si="6"/>
        <v>3794868.4000000004</v>
      </c>
      <c r="P32" s="25">
        <f t="shared" si="6"/>
        <v>2846151.3</v>
      </c>
      <c r="Q32" s="25">
        <f t="shared" si="6"/>
        <v>2846151.3</v>
      </c>
      <c r="R32" s="25">
        <f t="shared" si="6"/>
        <v>2846151.3</v>
      </c>
      <c r="S32" s="25">
        <f t="shared" si="6"/>
        <v>1897434.2000000002</v>
      </c>
      <c r="T32" s="25">
        <f t="shared" si="6"/>
        <v>1897434.2000000002</v>
      </c>
      <c r="U32" s="25">
        <f t="shared" si="6"/>
        <v>1897434.2000000002</v>
      </c>
      <c r="V32" s="25">
        <f t="shared" si="6"/>
        <v>1897434.2000000002</v>
      </c>
      <c r="W32" s="25">
        <f t="shared" si="6"/>
        <v>1897434.2000000002</v>
      </c>
    </row>
    <row r="33" spans="1:23" x14ac:dyDescent="0.3">
      <c r="A33" s="32" t="s">
        <v>125</v>
      </c>
      <c r="B33" s="25"/>
      <c r="C33" s="25">
        <f>C32*20%</f>
        <v>2276921.04</v>
      </c>
      <c r="D33" s="25">
        <f t="shared" ref="D33:W33" si="8">D32*20%</f>
        <v>125873.20000000001</v>
      </c>
      <c r="E33" s="25">
        <f t="shared" si="8"/>
        <v>1771561</v>
      </c>
      <c r="F33" s="25">
        <f t="shared" si="8"/>
        <v>1707690.7799999998</v>
      </c>
      <c r="G33" s="25">
        <f t="shared" si="8"/>
        <v>1517947.3600000003</v>
      </c>
      <c r="H33" s="25">
        <f t="shared" si="8"/>
        <v>1517947.3600000003</v>
      </c>
      <c r="I33" s="25">
        <f t="shared" si="8"/>
        <v>1328203.94</v>
      </c>
      <c r="J33" s="25">
        <f t="shared" si="8"/>
        <v>948717.10000000009</v>
      </c>
      <c r="K33" s="25">
        <f t="shared" si="8"/>
        <v>948717.10000000009</v>
      </c>
      <c r="L33" s="25">
        <f t="shared" si="8"/>
        <v>948717.10000000009</v>
      </c>
      <c r="M33" s="25">
        <f t="shared" si="8"/>
        <v>758973.68000000017</v>
      </c>
      <c r="N33" s="25">
        <f t="shared" si="8"/>
        <v>758973.68000000017</v>
      </c>
      <c r="O33" s="25">
        <f t="shared" si="8"/>
        <v>758973.68000000017</v>
      </c>
      <c r="P33" s="25">
        <f t="shared" si="8"/>
        <v>569230.26</v>
      </c>
      <c r="Q33" s="25">
        <f t="shared" si="8"/>
        <v>569230.26</v>
      </c>
      <c r="R33" s="25">
        <f t="shared" si="8"/>
        <v>569230.26</v>
      </c>
      <c r="S33" s="25">
        <f t="shared" si="8"/>
        <v>379486.84000000008</v>
      </c>
      <c r="T33" s="25">
        <f t="shared" si="8"/>
        <v>379486.84000000008</v>
      </c>
      <c r="U33" s="25">
        <f t="shared" si="8"/>
        <v>379486.84000000008</v>
      </c>
      <c r="V33" s="25">
        <f t="shared" si="8"/>
        <v>379486.84000000008</v>
      </c>
      <c r="W33" s="25">
        <f t="shared" si="8"/>
        <v>379486.84000000008</v>
      </c>
    </row>
    <row r="34" spans="1:23" x14ac:dyDescent="0.3">
      <c r="A34" s="32" t="s">
        <v>126</v>
      </c>
      <c r="B34" s="24">
        <f>SUM(C34:W34)</f>
        <v>73897367.999999985</v>
      </c>
      <c r="C34" s="25">
        <f>C32-C7-C33</f>
        <v>8867684.1600000001</v>
      </c>
      <c r="D34" s="25">
        <f t="shared" ref="D34:W34" si="9">D32-D7-D33</f>
        <v>303492.8</v>
      </c>
      <c r="E34" s="25">
        <f t="shared" si="9"/>
        <v>7086244</v>
      </c>
      <c r="F34" s="25">
        <f t="shared" si="9"/>
        <v>6650763.1199999992</v>
      </c>
      <c r="G34" s="25">
        <f t="shared" si="9"/>
        <v>5911789.4400000004</v>
      </c>
      <c r="H34" s="25">
        <f t="shared" si="9"/>
        <v>5911789.4400000004</v>
      </c>
      <c r="I34" s="25">
        <f t="shared" si="9"/>
        <v>5172815.76</v>
      </c>
      <c r="J34" s="25">
        <f t="shared" si="9"/>
        <v>3694868.4</v>
      </c>
      <c r="K34" s="25">
        <f t="shared" si="9"/>
        <v>3694868.4</v>
      </c>
      <c r="L34" s="25">
        <f t="shared" si="9"/>
        <v>3694868.4</v>
      </c>
      <c r="M34" s="25">
        <f t="shared" si="9"/>
        <v>2955894.72</v>
      </c>
      <c r="N34" s="25">
        <f t="shared" si="9"/>
        <v>2955894.72</v>
      </c>
      <c r="O34" s="25">
        <f t="shared" si="9"/>
        <v>2955894.72</v>
      </c>
      <c r="P34" s="25">
        <f t="shared" si="9"/>
        <v>2216921.04</v>
      </c>
      <c r="Q34" s="25">
        <f t="shared" si="9"/>
        <v>2216921.04</v>
      </c>
      <c r="R34" s="25">
        <f t="shared" si="9"/>
        <v>2216921.04</v>
      </c>
      <c r="S34" s="25">
        <f t="shared" si="9"/>
        <v>1477947.36</v>
      </c>
      <c r="T34" s="25">
        <f t="shared" si="9"/>
        <v>1477947.36</v>
      </c>
      <c r="U34" s="25">
        <f t="shared" si="9"/>
        <v>1477947.36</v>
      </c>
      <c r="V34" s="25">
        <f t="shared" si="9"/>
        <v>1477947.36</v>
      </c>
      <c r="W34" s="25">
        <f t="shared" si="9"/>
        <v>1477947.36</v>
      </c>
    </row>
  </sheetData>
  <mergeCells count="1">
    <mergeCell ref="E4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File</vt:lpstr>
      <vt:lpstr>Assumptions</vt:lpstr>
      <vt:lpstr>Empirical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e14</dc:creator>
  <cp:lastModifiedBy>Shivam Raj</cp:lastModifiedBy>
  <dcterms:created xsi:type="dcterms:W3CDTF">2025-08-24T11:34:59Z</dcterms:created>
  <dcterms:modified xsi:type="dcterms:W3CDTF">2026-01-22T16:33:36Z</dcterms:modified>
</cp:coreProperties>
</file>