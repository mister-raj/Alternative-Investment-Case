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cer\Desktop\Models\IVP\"/>
    </mc:Choice>
  </mc:AlternateContent>
  <xr:revisionPtr revIDLastSave="0" documentId="13_ncr:1_{5DD2C844-F436-484C-9315-5B1C17E1A22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PUTS" sheetId="1" r:id="rId1"/>
    <sheet name="RESET CARRY" sheetId="2" r:id="rId2"/>
    <sheet name="CATCHUP CARRY ONLY" sheetId="3" r:id="rId3"/>
    <sheet name="BLENDEDCARRY+CATCHUP+GPROLLOVER" sheetId="4" r:id="rId4"/>
    <sheet name="OUT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B11" i="4"/>
  <c r="B10" i="4"/>
  <c r="B9" i="4"/>
  <c r="B8" i="4"/>
  <c r="B7" i="4"/>
  <c r="B11" i="3"/>
  <c r="E11" i="3"/>
  <c r="B10" i="3"/>
  <c r="B9" i="3"/>
  <c r="B8" i="3"/>
  <c r="B7" i="3"/>
  <c r="B10" i="2"/>
  <c r="B9" i="2"/>
  <c r="B8" i="2"/>
  <c r="B7" i="2"/>
  <c r="E16" i="1" l="1"/>
  <c r="D14" i="1"/>
  <c r="D15" i="1" s="1"/>
  <c r="B14" i="1"/>
  <c r="B15" i="1" s="1"/>
  <c r="C19" i="1"/>
  <c r="D19" i="1"/>
  <c r="E19" i="1"/>
  <c r="C18" i="1"/>
  <c r="D18" i="1"/>
  <c r="E18" i="1"/>
  <c r="B19" i="1"/>
  <c r="B18" i="1"/>
  <c r="C16" i="1"/>
  <c r="D16" i="1"/>
  <c r="B16" i="1"/>
  <c r="C14" i="1"/>
  <c r="C15" i="1" s="1"/>
  <c r="E14" i="1"/>
  <c r="E15" i="1" s="1"/>
  <c r="C5" i="1"/>
  <c r="D5" i="1"/>
  <c r="E5" i="1"/>
  <c r="B5" i="1"/>
  <c r="B13" i="1" s="1"/>
  <c r="B17" i="1" s="1"/>
  <c r="E13" i="1" l="1"/>
  <c r="E17" i="1" s="1"/>
  <c r="C13" i="1"/>
  <c r="C17" i="1" s="1"/>
  <c r="B3" i="2"/>
  <c r="B3" i="4"/>
  <c r="B3" i="3"/>
  <c r="E8" i="3" s="1"/>
  <c r="B5" i="2"/>
  <c r="H4" i="2" s="1"/>
  <c r="H7" i="2" s="1"/>
  <c r="B5" i="4"/>
  <c r="E4" i="4" s="1"/>
  <c r="B5" i="3"/>
  <c r="B4" i="2"/>
  <c r="B4" i="4"/>
  <c r="B4" i="3"/>
  <c r="D13" i="1"/>
  <c r="H3" i="4" l="1"/>
  <c r="E9" i="4"/>
  <c r="B6" i="2"/>
  <c r="B6" i="3"/>
  <c r="B6" i="4"/>
  <c r="E3" i="2"/>
  <c r="H5" i="2" s="1"/>
  <c r="E4" i="2"/>
  <c r="K4" i="2" s="1"/>
  <c r="C2" i="5" s="1"/>
  <c r="D17" i="1"/>
  <c r="E9" i="3" l="1"/>
  <c r="E4" i="3"/>
  <c r="H4" i="3" s="1"/>
  <c r="C3" i="5" s="1"/>
  <c r="E3" i="3"/>
  <c r="H3" i="3" s="1"/>
  <c r="B3" i="5" s="1"/>
  <c r="E5" i="4"/>
  <c r="H10" i="4"/>
  <c r="C4" i="5" s="1"/>
  <c r="H6" i="2"/>
  <c r="H8" i="2"/>
  <c r="H9" i="2" s="1"/>
  <c r="K5" i="2" s="1"/>
  <c r="D2" i="5" s="1"/>
  <c r="K3" i="2" l="1"/>
  <c r="B2" i="5" s="1"/>
  <c r="E2" i="5" s="1"/>
  <c r="E10" i="4"/>
  <c r="E11" i="4" s="1"/>
  <c r="E12" i="4" s="1"/>
  <c r="E7" i="4"/>
  <c r="E8" i="4" s="1"/>
  <c r="H9" i="4" s="1"/>
  <c r="B4" i="5" s="1"/>
  <c r="H4" i="4"/>
  <c r="E6" i="4"/>
  <c r="E3" i="5"/>
  <c r="E13" i="4" l="1"/>
  <c r="H8" i="4" s="1"/>
  <c r="D4" i="5" s="1"/>
  <c r="E4" i="5" s="1"/>
</calcChain>
</file>

<file path=xl/sharedStrings.xml><?xml version="1.0" encoding="utf-8"?>
<sst xmlns="http://schemas.openxmlformats.org/spreadsheetml/2006/main" count="121" uniqueCount="80">
  <si>
    <t>METRIC</t>
  </si>
  <si>
    <t>Gross IRR</t>
  </si>
  <si>
    <t>Net IRR</t>
  </si>
  <si>
    <t>TVPI(DPI+RVPI)</t>
  </si>
  <si>
    <t>DPI</t>
  </si>
  <si>
    <t>RVPI</t>
  </si>
  <si>
    <t>Unrealised value%</t>
  </si>
  <si>
    <t>T=0</t>
  </si>
  <si>
    <t>T+3</t>
  </si>
  <si>
    <t>T+5</t>
  </si>
  <si>
    <t>T+7</t>
  </si>
  <si>
    <t>Value(10years)</t>
  </si>
  <si>
    <t>Value(10+3years)</t>
  </si>
  <si>
    <t>Value(10+5years)</t>
  </si>
  <si>
    <t>Value(10+7years)</t>
  </si>
  <si>
    <t>NAV at T($M)</t>
  </si>
  <si>
    <t>Paid in capital</t>
  </si>
  <si>
    <t>Distributions</t>
  </si>
  <si>
    <t>NAV</t>
  </si>
  <si>
    <t>LPs Rolling Forward</t>
  </si>
  <si>
    <t>LPs Exiting</t>
  </si>
  <si>
    <t>Hurdle Rate</t>
  </si>
  <si>
    <t>Carry Rate</t>
  </si>
  <si>
    <t>INPUTS</t>
  </si>
  <si>
    <t>TVPI</t>
  </si>
  <si>
    <t>Rolled LPs</t>
  </si>
  <si>
    <t>Exit LPs</t>
  </si>
  <si>
    <t>Hurdle rate</t>
  </si>
  <si>
    <t>Carry</t>
  </si>
  <si>
    <t>Values</t>
  </si>
  <si>
    <t>Value Splits</t>
  </si>
  <si>
    <t>Rolled LPs share</t>
  </si>
  <si>
    <t>Exit LPs share</t>
  </si>
  <si>
    <t>Value in $MN</t>
  </si>
  <si>
    <t>Reset Carry Calculations</t>
  </si>
  <si>
    <t>Rolled NAV baseline</t>
  </si>
  <si>
    <t>Rolled pool value at T+5</t>
  </si>
  <si>
    <t>Profit</t>
  </si>
  <si>
    <t>Hurdle requirement</t>
  </si>
  <si>
    <t>Excess above Hurdle</t>
  </si>
  <si>
    <t>GPs Carry</t>
  </si>
  <si>
    <t>Final Allocation</t>
  </si>
  <si>
    <t>Rolled LPs (after carry)</t>
  </si>
  <si>
    <t>GP Carry</t>
  </si>
  <si>
    <t>Calculations</t>
  </si>
  <si>
    <t>Hurdle Check</t>
  </si>
  <si>
    <t>Fund life in yrs</t>
  </si>
  <si>
    <t>Minimum Required value</t>
  </si>
  <si>
    <t>Actual value at T+5</t>
  </si>
  <si>
    <t>Actual(2405.5)&lt;Required(4488.62)</t>
  </si>
  <si>
    <t>Catch up carry Model Summary</t>
  </si>
  <si>
    <t>Exit Lps</t>
  </si>
  <si>
    <t>NET IRR</t>
  </si>
  <si>
    <t>Blended Carry Calculations</t>
  </si>
  <si>
    <t>Value achieved</t>
  </si>
  <si>
    <t>Value achieved is more than hurdle req</t>
  </si>
  <si>
    <t>Assumption</t>
  </si>
  <si>
    <t>Reduced Carry</t>
  </si>
  <si>
    <t>Excess above hurdle</t>
  </si>
  <si>
    <t>GP Rollover % of NAV baseline</t>
  </si>
  <si>
    <t>GP Rollover</t>
  </si>
  <si>
    <t>Growth Multiple</t>
  </si>
  <si>
    <t>Final GP Rollover value</t>
  </si>
  <si>
    <t>GP Total profit</t>
  </si>
  <si>
    <t>GP total</t>
  </si>
  <si>
    <t>MODEL</t>
  </si>
  <si>
    <t>Exit LPs ($MN)</t>
  </si>
  <si>
    <t>GP ($MN)</t>
  </si>
  <si>
    <t>Total ($MN)</t>
  </si>
  <si>
    <t>Reset Carry</t>
  </si>
  <si>
    <t>Catchup Carry</t>
  </si>
  <si>
    <t>Blended + Rollover</t>
  </si>
  <si>
    <t>Rolled LPs ($MN)</t>
  </si>
  <si>
    <t>Intial Capital</t>
  </si>
  <si>
    <t>Paid In Capital</t>
  </si>
  <si>
    <t>Nav</t>
  </si>
  <si>
    <t>Unrealised Value</t>
  </si>
  <si>
    <t>Rolling Lp Nav</t>
  </si>
  <si>
    <t>Exiting Lp Nav</t>
  </si>
  <si>
    <t xml:space="preserve"> in $MN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</si>
</sst>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2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/>
    <xf numFmtId="9" fontId="2" fillId="3" borderId="1" xfId="0" applyNumberFormat="1" applyFont="1" applyFill="1" applyBorder="1"/>
    <xf numFmtId="10" fontId="2" fillId="5" borderId="1" xfId="0" applyNumberFormat="1" applyFont="1" applyFill="1" applyBorder="1" applyAlignment="1">
      <alignment horizontal="center" vertical="center"/>
    </xf>
    <xf numFmtId="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9" fontId="2" fillId="0" borderId="1" xfId="0" applyNumberFormat="1" applyFont="1" applyBorder="1"/>
    <xf numFmtId="10" fontId="2" fillId="0" borderId="1" xfId="0" applyNumberFormat="1" applyFont="1" applyBorder="1"/>
    <xf numFmtId="9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OUTPUT!$A$2</c:f>
              <c:strCache>
                <c:ptCount val="1"/>
                <c:pt idx="0">
                  <c:v>Reset Carry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OUTPUT!$B$1:$E$1</c:f>
              <c:strCache>
                <c:ptCount val="4"/>
                <c:pt idx="0">
                  <c:v>Rolled LPs ($MN)</c:v>
                </c:pt>
                <c:pt idx="1">
                  <c:v>Exit LPs ($MN)</c:v>
                </c:pt>
                <c:pt idx="2">
                  <c:v>GP ($MN)</c:v>
                </c:pt>
                <c:pt idx="3">
                  <c:v>Total ($MN)</c:v>
                </c:pt>
              </c:strCache>
            </c:strRef>
          </c:cat>
          <c:val>
            <c:numRef>
              <c:f>OUTPUT!$B$2:$E$2</c:f>
              <c:numCache>
                <c:formatCode>General</c:formatCode>
                <c:ptCount val="4"/>
                <c:pt idx="0" formatCode="0.00">
                  <c:v>1463.5095568056322</c:v>
                </c:pt>
                <c:pt idx="1">
                  <c:v>721.65000000000009</c:v>
                </c:pt>
                <c:pt idx="2" formatCode="0.00">
                  <c:v>220.34044319436799</c:v>
                </c:pt>
                <c:pt idx="3" formatCode="0.00">
                  <c:v>2405.5000000000005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2-4FBD-9917-723370AE7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895743"/>
        <c:axId val="1908897407"/>
      </c:barChart>
      <c:catAx>
        <c:axId val="19088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97407"/>
        <c:crosses val="autoZero"/>
        <c:auto val="1"/>
        <c:lblAlgn val="ctr"/>
        <c:lblOffset val="100"/>
        <c:noMultiLvlLbl val="0"/>
      </c:catAx>
      <c:valAx>
        <c:axId val="190889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89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OUTPUT!$A$3</c:f>
              <c:strCache>
                <c:ptCount val="1"/>
                <c:pt idx="0">
                  <c:v>Catchup Carry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OUTPUT!$B$1:$E$1</c:f>
              <c:strCache>
                <c:ptCount val="4"/>
                <c:pt idx="0">
                  <c:v>Rolled LPs ($MN)</c:v>
                </c:pt>
                <c:pt idx="1">
                  <c:v>Exit LPs ($MN)</c:v>
                </c:pt>
                <c:pt idx="2">
                  <c:v>GP ($MN)</c:v>
                </c:pt>
                <c:pt idx="3">
                  <c:v>Total ($MN)</c:v>
                </c:pt>
              </c:strCache>
            </c:strRef>
          </c:cat>
          <c:val>
            <c:numRef>
              <c:f>OUTPUT!$B$3:$E$3</c:f>
              <c:numCache>
                <c:formatCode>General</c:formatCode>
                <c:ptCount val="4"/>
                <c:pt idx="0">
                  <c:v>1683.8500000000001</c:v>
                </c:pt>
                <c:pt idx="1">
                  <c:v>721.65000000000009</c:v>
                </c:pt>
                <c:pt idx="2">
                  <c:v>0</c:v>
                </c:pt>
                <c:pt idx="3" formatCode="0.00">
                  <c:v>2405.5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E-476F-B437-A3216A82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841871"/>
        <c:axId val="1948843535"/>
      </c:barChart>
      <c:catAx>
        <c:axId val="194884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43535"/>
        <c:crosses val="autoZero"/>
        <c:auto val="1"/>
        <c:lblAlgn val="ctr"/>
        <c:lblOffset val="100"/>
        <c:noMultiLvlLbl val="0"/>
      </c:catAx>
      <c:valAx>
        <c:axId val="19488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84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OUTPUT!$A$4</c:f>
              <c:strCache>
                <c:ptCount val="1"/>
                <c:pt idx="0">
                  <c:v>Blended + Rollover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OUTPUT!$B$1:$E$1</c:f>
              <c:strCache>
                <c:ptCount val="4"/>
                <c:pt idx="0">
                  <c:v>Rolled LPs ($MN)</c:v>
                </c:pt>
                <c:pt idx="1">
                  <c:v>Exit LPs ($MN)</c:v>
                </c:pt>
                <c:pt idx="2">
                  <c:v>GP ($MN)</c:v>
                </c:pt>
                <c:pt idx="3">
                  <c:v>Total ($MN)</c:v>
                </c:pt>
              </c:strCache>
            </c:strRef>
          </c:cat>
          <c:val>
            <c:numRef>
              <c:f>OUTPUT!$B$4:$E$4</c:f>
              <c:numCache>
                <c:formatCode>General</c:formatCode>
                <c:ptCount val="4"/>
                <c:pt idx="0" formatCode="0.00">
                  <c:v>1573.6797784028161</c:v>
                </c:pt>
                <c:pt idx="1">
                  <c:v>721.65000000000009</c:v>
                </c:pt>
                <c:pt idx="2" formatCode="0.00">
                  <c:v>174.55272159718402</c:v>
                </c:pt>
                <c:pt idx="3" formatCode="0.00">
                  <c:v>2469.8825000000006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9-416D-BB6B-D7E149F66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334495"/>
        <c:axId val="1908328255"/>
      </c:barChart>
      <c:catAx>
        <c:axId val="19083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28255"/>
        <c:crosses val="autoZero"/>
        <c:auto val="1"/>
        <c:lblAlgn val="ctr"/>
        <c:lblOffset val="100"/>
        <c:noMultiLvlLbl val="0"/>
      </c:catAx>
      <c:valAx>
        <c:axId val="190832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33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579120</xdr:colOff>
      <xdr:row>9</xdr:row>
      <xdr:rowOff>114300</xdr:rowOff>
    </xdr:from>
    <xdr:to>
      <xdr:col>15</xdr:col>
      <xdr:colOff>83820</xdr:colOff>
      <xdr:row>23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79B527-3572-47C6-AAAF-F43978BAE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525780</xdr:colOff>
      <xdr:row>10</xdr:row>
      <xdr:rowOff>19050</xdr:rowOff>
    </xdr:from>
    <xdr:to>
      <xdr:col>3</xdr:col>
      <xdr:colOff>624840</xdr:colOff>
      <xdr:row>23</xdr:row>
      <xdr:rowOff>186690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312176-AD07-4BE3-8917-956D503D8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937260</xdr:colOff>
      <xdr:row>9</xdr:row>
      <xdr:rowOff>133350</xdr:rowOff>
    </xdr:from>
    <xdr:to>
      <xdr:col>7</xdr:col>
      <xdr:colOff>396240</xdr:colOff>
      <xdr:row>23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260319-6F78-4E5E-88A1-261A883A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N12" sqref="N12"/>
    </sheetView>
  </sheetViews>
  <sheetFormatPr defaultRowHeight="14.4" x14ac:dyDescent="0.3"/>
  <cols>
    <col min="1" max="1" width="16" bestFit="1" customWidth="1"/>
    <col min="2" max="5" width="16.6640625" style="1" customWidth="1"/>
    <col min="6" max="6" width="16.88671875" bestFit="1" customWidth="1"/>
    <col min="7" max="7" width="19.21875" bestFit="1" customWidth="1"/>
    <col min="8" max="8" width="14" customWidth="1"/>
  </cols>
  <sheetData>
    <row r="1" spans="1:13" ht="15.6" x14ac:dyDescent="0.35">
      <c r="A1" s="25"/>
      <c r="B1" s="17" t="s">
        <v>7</v>
      </c>
      <c r="C1" s="17" t="s">
        <v>8</v>
      </c>
      <c r="D1" s="17" t="s">
        <v>9</v>
      </c>
      <c r="E1" s="17" t="s">
        <v>10</v>
      </c>
      <c r="F1" s="6"/>
      <c r="G1" s="6"/>
      <c r="H1" s="6"/>
      <c r="I1" s="6"/>
      <c r="J1" s="6"/>
      <c r="K1" s="6"/>
      <c r="L1" s="6"/>
      <c r="M1" s="6"/>
    </row>
    <row r="2" spans="1:13" ht="15.6" x14ac:dyDescent="0.35">
      <c r="A2" s="25" t="s">
        <v>0</v>
      </c>
      <c r="B2" s="17" t="s">
        <v>11</v>
      </c>
      <c r="C2" s="17" t="s">
        <v>12</v>
      </c>
      <c r="D2" s="17" t="s">
        <v>13</v>
      </c>
      <c r="E2" s="17" t="s">
        <v>14</v>
      </c>
      <c r="F2" s="6"/>
      <c r="G2" s="6"/>
      <c r="H2" s="6"/>
      <c r="I2" s="6"/>
      <c r="J2" s="6"/>
      <c r="K2" s="6"/>
      <c r="L2" s="6"/>
      <c r="M2" s="6"/>
    </row>
    <row r="3" spans="1:13" ht="15.6" x14ac:dyDescent="0.35">
      <c r="A3" s="2" t="s">
        <v>1</v>
      </c>
      <c r="B3" s="9">
        <v>9.5000000000000001E-2</v>
      </c>
      <c r="C3" s="9">
        <v>0.10100000000000001</v>
      </c>
      <c r="D3" s="9">
        <v>0.112</v>
      </c>
      <c r="E3" s="9">
        <v>0.123</v>
      </c>
      <c r="F3" s="6"/>
      <c r="G3" s="7" t="s">
        <v>19</v>
      </c>
      <c r="H3" s="8">
        <v>0.7</v>
      </c>
      <c r="I3" s="6"/>
      <c r="J3" s="6"/>
      <c r="K3" s="6"/>
      <c r="L3" s="6"/>
      <c r="M3" s="6"/>
    </row>
    <row r="4" spans="1:13" ht="15.6" x14ac:dyDescent="0.35">
      <c r="A4" s="2" t="s">
        <v>2</v>
      </c>
      <c r="B4" s="9">
        <v>7.1999999999999995E-2</v>
      </c>
      <c r="C4" s="9">
        <v>7.9000000000000001E-2</v>
      </c>
      <c r="D4" s="9">
        <v>8.5000000000000006E-2</v>
      </c>
      <c r="E4" s="10">
        <v>0.09</v>
      </c>
      <c r="F4" s="6"/>
      <c r="G4" s="7" t="s">
        <v>20</v>
      </c>
      <c r="H4" s="8">
        <v>0.3</v>
      </c>
      <c r="I4" s="6"/>
      <c r="J4" s="6"/>
      <c r="K4" s="6"/>
      <c r="L4" s="6"/>
      <c r="M4" s="6"/>
    </row>
    <row r="5" spans="1:13" ht="15.6" x14ac:dyDescent="0.35">
      <c r="A5" s="2" t="s">
        <v>3</v>
      </c>
      <c r="B5" s="11">
        <f>B6+B7</f>
        <v>1.4</v>
      </c>
      <c r="C5" s="11">
        <f t="shared" ref="C5:E5" si="0">C6+C7</f>
        <v>1.56</v>
      </c>
      <c r="D5" s="11">
        <f t="shared" si="0"/>
        <v>1.7000000000000002</v>
      </c>
      <c r="E5" s="11">
        <f t="shared" si="0"/>
        <v>1.86</v>
      </c>
      <c r="F5" s="6"/>
      <c r="G5" s="7" t="s">
        <v>21</v>
      </c>
      <c r="H5" s="8">
        <v>0.08</v>
      </c>
      <c r="I5" s="6"/>
      <c r="J5" s="6"/>
      <c r="K5" s="6"/>
      <c r="L5" s="6"/>
      <c r="M5" s="6"/>
    </row>
    <row r="6" spans="1:13" ht="15.6" x14ac:dyDescent="0.35">
      <c r="A6" s="2" t="s">
        <v>4</v>
      </c>
      <c r="B6" s="11">
        <v>0.5</v>
      </c>
      <c r="C6" s="11">
        <v>0.75</v>
      </c>
      <c r="D6" s="11">
        <v>1.3</v>
      </c>
      <c r="E6" s="11">
        <v>1.55</v>
      </c>
      <c r="F6" s="6"/>
      <c r="G6" s="7" t="s">
        <v>22</v>
      </c>
      <c r="H6" s="8">
        <v>0.2</v>
      </c>
      <c r="I6" s="6"/>
      <c r="J6" s="6"/>
      <c r="K6" s="6"/>
      <c r="L6" s="6"/>
      <c r="M6" s="6"/>
    </row>
    <row r="7" spans="1:13" ht="15.6" x14ac:dyDescent="0.35">
      <c r="A7" s="2" t="s">
        <v>5</v>
      </c>
      <c r="B7" s="11">
        <v>0.9</v>
      </c>
      <c r="C7" s="11">
        <v>0.81</v>
      </c>
      <c r="D7" s="11">
        <v>0.4</v>
      </c>
      <c r="E7" s="11">
        <v>0.31</v>
      </c>
      <c r="F7" s="6"/>
      <c r="I7" s="6"/>
      <c r="J7" s="6"/>
      <c r="K7" s="6"/>
      <c r="L7" s="6"/>
      <c r="M7" s="6"/>
    </row>
    <row r="8" spans="1:13" ht="15.6" x14ac:dyDescent="0.35">
      <c r="A8" s="2" t="s">
        <v>15</v>
      </c>
      <c r="B8" s="11">
        <v>400</v>
      </c>
      <c r="C8" s="11">
        <v>496</v>
      </c>
      <c r="D8" s="11">
        <v>566</v>
      </c>
      <c r="E8" s="11">
        <v>622</v>
      </c>
      <c r="F8" s="6"/>
      <c r="G8" s="6"/>
      <c r="H8" s="6"/>
      <c r="I8" s="6"/>
      <c r="J8" s="6"/>
      <c r="K8" s="6"/>
      <c r="L8" s="6"/>
      <c r="M8" s="6"/>
    </row>
    <row r="9" spans="1:13" ht="15.6" x14ac:dyDescent="0.35">
      <c r="A9" s="2" t="s">
        <v>6</v>
      </c>
      <c r="B9" s="9">
        <v>0.64290000000000003</v>
      </c>
      <c r="C9" s="10">
        <v>0.52</v>
      </c>
      <c r="D9" s="10">
        <v>0.24</v>
      </c>
      <c r="E9" s="10">
        <v>0.17</v>
      </c>
      <c r="F9" s="6"/>
      <c r="G9" s="6"/>
      <c r="H9" s="6"/>
      <c r="I9" s="6"/>
      <c r="J9" s="6"/>
      <c r="K9" s="6"/>
      <c r="L9" s="6"/>
      <c r="M9" s="6"/>
    </row>
    <row r="10" spans="1:13" ht="15.6" x14ac:dyDescent="0.35">
      <c r="A10" s="6"/>
      <c r="B10" s="3"/>
      <c r="C10" s="3"/>
      <c r="D10" s="3"/>
      <c r="E10" s="3"/>
      <c r="F10" s="6"/>
      <c r="G10" s="6"/>
      <c r="H10" s="6"/>
      <c r="I10" s="6"/>
      <c r="J10" s="6"/>
      <c r="K10" s="6"/>
      <c r="L10" s="6"/>
      <c r="M10" s="6"/>
    </row>
    <row r="11" spans="1:13" ht="15.6" x14ac:dyDescent="0.35">
      <c r="A11" s="6"/>
      <c r="B11" s="3"/>
      <c r="C11" s="3"/>
      <c r="D11" s="3"/>
      <c r="E11" s="3"/>
      <c r="F11" s="6"/>
      <c r="G11" s="6"/>
      <c r="H11" s="6"/>
      <c r="I11" s="6"/>
      <c r="J11" s="6"/>
      <c r="K11" s="6"/>
      <c r="L11" s="6"/>
      <c r="M11" s="6"/>
    </row>
    <row r="12" spans="1:13" ht="15.6" x14ac:dyDescent="0.35">
      <c r="A12" s="26" t="s">
        <v>44</v>
      </c>
      <c r="B12" s="26"/>
      <c r="C12" s="26"/>
      <c r="D12" s="26"/>
      <c r="E12" s="26"/>
      <c r="F12" s="6"/>
      <c r="G12" s="6"/>
      <c r="H12" s="6"/>
      <c r="I12" s="6"/>
      <c r="J12" s="6"/>
      <c r="K12" s="6"/>
      <c r="L12" s="6"/>
      <c r="M12" s="6"/>
    </row>
    <row r="13" spans="1:13" ht="15.6" x14ac:dyDescent="0.35">
      <c r="A13" s="2" t="s">
        <v>73</v>
      </c>
      <c r="B13" s="12">
        <f>B5*B14</f>
        <v>622.22222222222217</v>
      </c>
      <c r="C13" s="12">
        <f>C5*C14</f>
        <v>955.25925925925924</v>
      </c>
      <c r="D13" s="13">
        <f>D5*D14</f>
        <v>2405.5000000000005</v>
      </c>
      <c r="E13" s="13">
        <f>E5*E14</f>
        <v>3732.0000000000005</v>
      </c>
      <c r="F13" s="6"/>
      <c r="G13" s="6"/>
      <c r="H13" s="6"/>
      <c r="I13" s="6"/>
      <c r="J13" s="6"/>
      <c r="K13" s="6"/>
      <c r="L13" s="6"/>
      <c r="M13" s="6"/>
    </row>
    <row r="14" spans="1:13" ht="15.6" x14ac:dyDescent="0.35">
      <c r="A14" s="2" t="s">
        <v>74</v>
      </c>
      <c r="B14" s="12">
        <f>B8/B7</f>
        <v>444.44444444444446</v>
      </c>
      <c r="C14" s="12">
        <f>C8/C7</f>
        <v>612.34567901234561</v>
      </c>
      <c r="D14" s="13">
        <f>D8/D7</f>
        <v>1415</v>
      </c>
      <c r="E14" s="13">
        <f>E8/E7</f>
        <v>2006.4516129032259</v>
      </c>
      <c r="F14" s="6"/>
      <c r="G14" s="6"/>
      <c r="H14" s="6"/>
      <c r="I14" s="6"/>
      <c r="J14" s="6"/>
      <c r="K14" s="6"/>
      <c r="L14" s="6"/>
      <c r="M14" s="6"/>
    </row>
    <row r="15" spans="1:13" ht="15.6" x14ac:dyDescent="0.35">
      <c r="A15" s="2" t="s">
        <v>17</v>
      </c>
      <c r="B15" s="12">
        <f>B6*B14</f>
        <v>222.22222222222223</v>
      </c>
      <c r="C15" s="12">
        <f>C6*C14</f>
        <v>459.25925925925924</v>
      </c>
      <c r="D15" s="13">
        <f>D6*D14</f>
        <v>1839.5</v>
      </c>
      <c r="E15" s="13">
        <f>E6*E14</f>
        <v>3110</v>
      </c>
      <c r="F15" s="6"/>
      <c r="G15" s="6"/>
      <c r="H15" s="6"/>
      <c r="I15" s="6"/>
      <c r="J15" s="6"/>
      <c r="K15" s="6"/>
      <c r="L15" s="6"/>
      <c r="M15" s="6"/>
    </row>
    <row r="16" spans="1:13" ht="15.6" x14ac:dyDescent="0.35">
      <c r="A16" s="2" t="s">
        <v>75</v>
      </c>
      <c r="B16" s="5">
        <f>B8</f>
        <v>400</v>
      </c>
      <c r="C16" s="5">
        <f>C8</f>
        <v>496</v>
      </c>
      <c r="D16" s="14">
        <f>D8</f>
        <v>566</v>
      </c>
      <c r="E16" s="14">
        <f>E8</f>
        <v>622</v>
      </c>
      <c r="F16" s="6"/>
      <c r="G16" s="6"/>
      <c r="H16" s="6"/>
      <c r="I16" s="6"/>
      <c r="J16" s="6"/>
      <c r="K16" s="6"/>
      <c r="L16" s="6"/>
      <c r="M16" s="6"/>
    </row>
    <row r="17" spans="1:13" ht="15.6" x14ac:dyDescent="0.35">
      <c r="A17" s="2" t="s">
        <v>76</v>
      </c>
      <c r="B17" s="15">
        <f>B8/B13</f>
        <v>0.6428571428571429</v>
      </c>
      <c r="C17" s="15">
        <f>C8/C13</f>
        <v>0.51923076923076927</v>
      </c>
      <c r="D17" s="16">
        <f>D8/D13</f>
        <v>0.23529411764705879</v>
      </c>
      <c r="E17" s="16">
        <f>E8/E13</f>
        <v>0.16666666666666666</v>
      </c>
      <c r="F17" s="6"/>
      <c r="G17" s="6"/>
      <c r="H17" s="6"/>
      <c r="I17" s="6"/>
      <c r="J17" s="6"/>
      <c r="K17" s="6"/>
      <c r="L17" s="6"/>
      <c r="M17" s="6"/>
    </row>
    <row r="18" spans="1:13" ht="15.6" x14ac:dyDescent="0.35">
      <c r="A18" s="2" t="s">
        <v>77</v>
      </c>
      <c r="B18" s="5">
        <f>$H$3*B8</f>
        <v>280</v>
      </c>
      <c r="C18" s="5">
        <f>$H$3*C8</f>
        <v>347.2</v>
      </c>
      <c r="D18" s="14">
        <f>$H$3*D8</f>
        <v>396.2</v>
      </c>
      <c r="E18" s="14">
        <f>$H$3*E8</f>
        <v>435.4</v>
      </c>
      <c r="F18" s="6"/>
      <c r="G18" s="6"/>
      <c r="H18" s="6"/>
      <c r="I18" s="6"/>
      <c r="J18" s="6"/>
      <c r="K18" s="6"/>
      <c r="L18" s="6"/>
      <c r="M18" s="6"/>
    </row>
    <row r="19" spans="1:13" ht="15.6" x14ac:dyDescent="0.35">
      <c r="A19" s="2" t="s">
        <v>78</v>
      </c>
      <c r="B19" s="5">
        <f>$H$4*B8</f>
        <v>120</v>
      </c>
      <c r="C19" s="5">
        <f>$H$4*C8</f>
        <v>148.79999999999998</v>
      </c>
      <c r="D19" s="14">
        <f>$H$4*D8</f>
        <v>169.79999999999998</v>
      </c>
      <c r="E19" s="14">
        <f>$H$4*E8</f>
        <v>186.6</v>
      </c>
      <c r="F19" s="6"/>
      <c r="G19" s="6"/>
      <c r="H19" s="6"/>
      <c r="I19" s="6"/>
      <c r="J19" s="6"/>
      <c r="K19" s="6"/>
      <c r="L19" s="6"/>
      <c r="M19" s="6"/>
    </row>
    <row r="20" spans="1:13" ht="15.6" x14ac:dyDescent="0.35">
      <c r="A20" s="6"/>
      <c r="B20" s="3"/>
      <c r="C20" s="3"/>
      <c r="D20" s="3"/>
      <c r="E20" s="3"/>
      <c r="F20" s="6"/>
      <c r="G20" s="6"/>
      <c r="H20" s="6"/>
      <c r="I20" s="6"/>
      <c r="J20" s="6"/>
      <c r="K20" s="6"/>
      <c r="L20" s="6"/>
      <c r="M20" s="6"/>
    </row>
    <row r="21" spans="1:13" ht="15.6" x14ac:dyDescent="0.35">
      <c r="A21" s="6"/>
      <c r="B21" s="3"/>
      <c r="C21" s="3"/>
      <c r="D21" s="3"/>
      <c r="E21" s="3"/>
      <c r="F21" s="6"/>
      <c r="G21" s="6"/>
      <c r="H21" s="6"/>
      <c r="I21" s="6"/>
      <c r="J21" s="6"/>
      <c r="K21" s="6"/>
      <c r="L21" s="6"/>
      <c r="M21" s="6"/>
    </row>
    <row r="22" spans="1:13" ht="15.6" x14ac:dyDescent="0.35">
      <c r="A22" s="6"/>
      <c r="B22" s="3"/>
      <c r="C22" s="3"/>
      <c r="D22" s="3"/>
      <c r="E22" s="3"/>
      <c r="F22" s="6"/>
      <c r="G22" s="6"/>
      <c r="H22" s="6"/>
      <c r="I22" s="6"/>
      <c r="J22" s="6"/>
      <c r="K22" s="6"/>
      <c r="L22" s="6"/>
      <c r="M22" s="6"/>
    </row>
    <row r="23" spans="1:13" ht="15.6" x14ac:dyDescent="0.35">
      <c r="A23" s="6"/>
      <c r="B23" s="3"/>
      <c r="C23" s="3"/>
      <c r="D23" s="3"/>
      <c r="E23" s="3"/>
      <c r="F23" s="6"/>
      <c r="G23" s="6"/>
      <c r="H23" s="6"/>
      <c r="I23" s="6"/>
      <c r="J23" s="6"/>
      <c r="K23" s="6"/>
      <c r="L23" s="6"/>
      <c r="M23" s="6"/>
    </row>
    <row r="24" spans="1:13" ht="15.6" x14ac:dyDescent="0.35">
      <c r="A24" s="6"/>
      <c r="B24" s="3"/>
      <c r="C24" s="3"/>
      <c r="D24" s="3"/>
      <c r="E24" s="3"/>
      <c r="F24" s="6"/>
      <c r="G24" s="6"/>
      <c r="H24" s="6"/>
      <c r="I24" s="6"/>
      <c r="J24" s="6"/>
      <c r="K24" s="6"/>
      <c r="L24" s="6"/>
      <c r="M24" s="6"/>
    </row>
    <row r="25" spans="1:13" ht="15.6" x14ac:dyDescent="0.35">
      <c r="A25" s="6"/>
      <c r="B25" s="3"/>
      <c r="C25" s="3"/>
      <c r="D25" s="3"/>
      <c r="E25" s="3"/>
      <c r="F25" s="6"/>
      <c r="G25" s="6"/>
      <c r="H25" s="6"/>
      <c r="I25" s="6"/>
      <c r="J25" s="6"/>
      <c r="K25" s="6"/>
      <c r="L25" s="6"/>
      <c r="M25" s="6"/>
    </row>
    <row r="26" spans="1:13" ht="15.6" x14ac:dyDescent="0.35">
      <c r="A26" s="6"/>
      <c r="B26" s="3"/>
      <c r="C26" s="3"/>
      <c r="D26" s="3"/>
      <c r="E26" s="3"/>
      <c r="F26" s="6"/>
      <c r="G26" s="6"/>
      <c r="H26" s="6"/>
      <c r="I26" s="6"/>
      <c r="J26" s="6"/>
      <c r="K26" s="6"/>
      <c r="L26" s="6"/>
      <c r="M26" s="6"/>
    </row>
    <row r="27" spans="1:13" ht="15.6" x14ac:dyDescent="0.35">
      <c r="A27" s="6"/>
      <c r="B27" s="3"/>
      <c r="C27" s="3"/>
      <c r="D27" s="3"/>
      <c r="E27" s="3"/>
      <c r="F27" s="6"/>
      <c r="G27" s="6"/>
      <c r="H27" s="6"/>
      <c r="I27" s="6"/>
      <c r="J27" s="6"/>
      <c r="K27" s="6"/>
      <c r="L27" s="6"/>
      <c r="M27" s="6"/>
    </row>
    <row r="28" spans="1:13" ht="15.6" x14ac:dyDescent="0.35">
      <c r="A28" s="6"/>
      <c r="B28" s="3"/>
      <c r="C28" s="3"/>
      <c r="D28" s="3"/>
      <c r="E28" s="3"/>
      <c r="F28" s="6"/>
      <c r="G28" s="6"/>
      <c r="H28" s="6"/>
      <c r="I28" s="6"/>
      <c r="J28" s="6"/>
      <c r="K28" s="6"/>
      <c r="L28" s="6"/>
      <c r="M28" s="6"/>
    </row>
    <row r="29" spans="1:13" ht="15.6" x14ac:dyDescent="0.35">
      <c r="A29" s="6"/>
      <c r="B29" s="3"/>
      <c r="C29" s="3"/>
      <c r="D29" s="3"/>
      <c r="E29" s="3"/>
      <c r="F29" s="6"/>
      <c r="G29" s="6"/>
      <c r="H29" s="6"/>
      <c r="I29" s="6"/>
      <c r="J29" s="6"/>
      <c r="K29" s="6"/>
      <c r="L29" s="6"/>
      <c r="M29" s="6"/>
    </row>
  </sheetData>
  <mergeCells count="1"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D613-4BD7-42AD-9CCE-C2A8344E5B7C}">
  <dimension ref="A2:K10"/>
  <sheetViews>
    <sheetView showGridLines="0" tabSelected="1" workbookViewId="0">
      <selection activeCell="C10" sqref="C10"/>
    </sheetView>
  </sheetViews>
  <sheetFormatPr defaultRowHeight="15.6" x14ac:dyDescent="0.35"/>
  <cols>
    <col min="1" max="1" width="24.21875" style="6" customWidth="1"/>
    <col min="2" max="2" width="15.44140625" style="6" customWidth="1"/>
    <col min="3" max="3" width="8.88671875" style="6"/>
    <col min="4" max="4" width="24.21875" style="6" customWidth="1"/>
    <col min="5" max="5" width="15.44140625" style="6" customWidth="1"/>
    <col min="6" max="6" width="8.88671875" style="6"/>
    <col min="7" max="7" width="24.21875" style="6" customWidth="1"/>
    <col min="8" max="8" width="15.44140625" style="6" customWidth="1"/>
    <col min="9" max="9" width="8.88671875" style="6"/>
    <col min="10" max="10" width="24.21875" style="6" customWidth="1"/>
    <col min="11" max="11" width="15.44140625" style="6" customWidth="1"/>
    <col min="12" max="16384" width="8.88671875" style="6"/>
  </cols>
  <sheetData>
    <row r="2" spans="1:11" x14ac:dyDescent="0.35">
      <c r="A2" s="22" t="s">
        <v>23</v>
      </c>
      <c r="B2" s="22" t="s">
        <v>29</v>
      </c>
      <c r="D2" s="22" t="s">
        <v>30</v>
      </c>
      <c r="E2" s="22" t="s">
        <v>33</v>
      </c>
      <c r="G2" s="27" t="s">
        <v>34</v>
      </c>
      <c r="H2" s="28"/>
      <c r="J2" s="27" t="s">
        <v>41</v>
      </c>
      <c r="K2" s="28"/>
    </row>
    <row r="3" spans="1:11" x14ac:dyDescent="0.35">
      <c r="A3" s="2" t="s">
        <v>16</v>
      </c>
      <c r="B3" s="4">
        <f>INPUTS!D14</f>
        <v>1415</v>
      </c>
      <c r="D3" s="2" t="s">
        <v>31</v>
      </c>
      <c r="E3" s="2">
        <f>B7*B6</f>
        <v>1683.8500000000001</v>
      </c>
      <c r="G3" s="2"/>
      <c r="H3" s="2" t="s">
        <v>33</v>
      </c>
      <c r="J3" s="2" t="s">
        <v>42</v>
      </c>
      <c r="K3" s="4">
        <f>H5-H9</f>
        <v>1463.5095568056322</v>
      </c>
    </row>
    <row r="4" spans="1:11" x14ac:dyDescent="0.35">
      <c r="A4" s="2" t="s">
        <v>4</v>
      </c>
      <c r="B4" s="4">
        <f>INPUTS!D15</f>
        <v>1839.5</v>
      </c>
      <c r="D4" s="2" t="s">
        <v>32</v>
      </c>
      <c r="E4" s="2">
        <f>B8*B6</f>
        <v>721.65000000000009</v>
      </c>
      <c r="G4" s="2" t="s">
        <v>35</v>
      </c>
      <c r="H4" s="2">
        <f>B7*B5</f>
        <v>396.2</v>
      </c>
      <c r="J4" s="2" t="s">
        <v>26</v>
      </c>
      <c r="K4" s="2">
        <f>E4</f>
        <v>721.65000000000009</v>
      </c>
    </row>
    <row r="5" spans="1:11" x14ac:dyDescent="0.35">
      <c r="A5" s="2" t="s">
        <v>18</v>
      </c>
      <c r="B5" s="2">
        <f>INPUTS!D16</f>
        <v>566</v>
      </c>
      <c r="G5" s="2" t="s">
        <v>36</v>
      </c>
      <c r="H5" s="2">
        <f>E3</f>
        <v>1683.8500000000001</v>
      </c>
      <c r="J5" s="2" t="s">
        <v>43</v>
      </c>
      <c r="K5" s="4">
        <f>H9</f>
        <v>220.34044319436799</v>
      </c>
    </row>
    <row r="6" spans="1:11" x14ac:dyDescent="0.35">
      <c r="A6" s="2" t="s">
        <v>24</v>
      </c>
      <c r="B6" s="4">
        <f>INPUTS!D13</f>
        <v>2405.5000000000005</v>
      </c>
      <c r="G6" s="2" t="s">
        <v>37</v>
      </c>
      <c r="H6" s="2">
        <f>H5-H4</f>
        <v>1287.6500000000001</v>
      </c>
    </row>
    <row r="7" spans="1:11" x14ac:dyDescent="0.35">
      <c r="A7" s="2" t="s">
        <v>25</v>
      </c>
      <c r="B7" s="18">
        <f>INPUTS!H3</f>
        <v>0.7</v>
      </c>
      <c r="G7" s="2" t="s">
        <v>38</v>
      </c>
      <c r="H7" s="4">
        <f>H4*(1+B9)^5</f>
        <v>582.14778402816012</v>
      </c>
    </row>
    <row r="8" spans="1:11" x14ac:dyDescent="0.35">
      <c r="A8" s="2" t="s">
        <v>26</v>
      </c>
      <c r="B8" s="18">
        <f>INPUTS!H4</f>
        <v>0.3</v>
      </c>
      <c r="G8" s="2" t="s">
        <v>39</v>
      </c>
      <c r="H8" s="4">
        <f>H5-H7</f>
        <v>1101.7022159718399</v>
      </c>
    </row>
    <row r="9" spans="1:11" x14ac:dyDescent="0.35">
      <c r="A9" s="2" t="s">
        <v>27</v>
      </c>
      <c r="B9" s="18">
        <f>INPUTS!H5</f>
        <v>0.08</v>
      </c>
      <c r="G9" s="2" t="s">
        <v>40</v>
      </c>
      <c r="H9" s="4">
        <f>B10*H8</f>
        <v>220.34044319436799</v>
      </c>
    </row>
    <row r="10" spans="1:11" x14ac:dyDescent="0.35">
      <c r="A10" s="2" t="s">
        <v>28</v>
      </c>
      <c r="B10" s="18">
        <f>INPUTS!H6</f>
        <v>0.2</v>
      </c>
    </row>
  </sheetData>
  <mergeCells count="2">
    <mergeCell ref="G2:H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B69F-7B9A-42C0-8BA7-18CD71F0F8F5}">
  <dimension ref="A2:H11"/>
  <sheetViews>
    <sheetView showGridLines="0" tabSelected="1" workbookViewId="0">
      <selection activeCell="C10" sqref="C10"/>
    </sheetView>
  </sheetViews>
  <sheetFormatPr defaultRowHeight="15.6" x14ac:dyDescent="0.35"/>
  <cols>
    <col min="1" max="1" width="30.77734375" style="6" customWidth="1"/>
    <col min="2" max="2" width="13.109375" style="6" customWidth="1"/>
    <col min="3" max="3" width="8.88671875" style="6"/>
    <col min="4" max="4" width="30.77734375" style="6" customWidth="1"/>
    <col min="5" max="5" width="13.109375" style="6" customWidth="1"/>
    <col min="6" max="6" width="8.88671875" style="6"/>
    <col min="7" max="7" width="30.77734375" style="6" customWidth="1"/>
    <col min="8" max="8" width="13.109375" style="6" customWidth="1"/>
    <col min="9" max="16384" width="8.88671875" style="6"/>
  </cols>
  <sheetData>
    <row r="2" spans="1:8" x14ac:dyDescent="0.35">
      <c r="A2" s="22" t="s">
        <v>23</v>
      </c>
      <c r="B2" s="22" t="s">
        <v>29</v>
      </c>
      <c r="D2" s="22" t="s">
        <v>30</v>
      </c>
      <c r="E2" s="22" t="s">
        <v>33</v>
      </c>
      <c r="G2" s="27" t="s">
        <v>50</v>
      </c>
      <c r="H2" s="28"/>
    </row>
    <row r="3" spans="1:8" x14ac:dyDescent="0.35">
      <c r="A3" s="2" t="s">
        <v>16</v>
      </c>
      <c r="B3" s="4">
        <f>INPUTS!D14</f>
        <v>1415</v>
      </c>
      <c r="D3" s="2" t="s">
        <v>31</v>
      </c>
      <c r="E3" s="2">
        <f>B7*B6</f>
        <v>1683.8500000000001</v>
      </c>
      <c r="G3" s="2" t="s">
        <v>25</v>
      </c>
      <c r="H3" s="2">
        <f>E3</f>
        <v>1683.8500000000001</v>
      </c>
    </row>
    <row r="4" spans="1:8" x14ac:dyDescent="0.35">
      <c r="A4" s="2" t="s">
        <v>4</v>
      </c>
      <c r="B4" s="4">
        <f>INPUTS!D15</f>
        <v>1839.5</v>
      </c>
      <c r="D4" s="2" t="s">
        <v>32</v>
      </c>
      <c r="E4" s="2">
        <f>B8*B6</f>
        <v>721.65000000000009</v>
      </c>
      <c r="G4" s="2" t="s">
        <v>51</v>
      </c>
      <c r="H4" s="2">
        <f>E4</f>
        <v>721.65000000000009</v>
      </c>
    </row>
    <row r="5" spans="1:8" x14ac:dyDescent="0.35">
      <c r="A5" s="2" t="s">
        <v>18</v>
      </c>
      <c r="B5" s="2">
        <f>INPUTS!D16</f>
        <v>566</v>
      </c>
      <c r="G5" s="2" t="s">
        <v>43</v>
      </c>
      <c r="H5" s="2">
        <v>0</v>
      </c>
    </row>
    <row r="6" spans="1:8" x14ac:dyDescent="0.35">
      <c r="A6" s="2" t="s">
        <v>24</v>
      </c>
      <c r="B6" s="4">
        <f>INPUTS!D13</f>
        <v>2405.5000000000005</v>
      </c>
      <c r="D6" s="27" t="s">
        <v>45</v>
      </c>
      <c r="E6" s="28"/>
    </row>
    <row r="7" spans="1:8" x14ac:dyDescent="0.35">
      <c r="A7" s="2" t="s">
        <v>25</v>
      </c>
      <c r="B7" s="18">
        <f>INPUTS!H3</f>
        <v>0.7</v>
      </c>
      <c r="D7" s="2" t="s">
        <v>46</v>
      </c>
      <c r="E7" s="2">
        <v>15</v>
      </c>
    </row>
    <row r="8" spans="1:8" x14ac:dyDescent="0.35">
      <c r="A8" s="2" t="s">
        <v>26</v>
      </c>
      <c r="B8" s="18">
        <f>INPUTS!H4</f>
        <v>0.3</v>
      </c>
      <c r="D8" s="2" t="s">
        <v>47</v>
      </c>
      <c r="E8" s="4">
        <f>B3*(1+B9)^E7</f>
        <v>4488.6192965905539</v>
      </c>
    </row>
    <row r="9" spans="1:8" x14ac:dyDescent="0.35">
      <c r="A9" s="2" t="s">
        <v>27</v>
      </c>
      <c r="B9" s="18">
        <f>INPUTS!H5</f>
        <v>0.08</v>
      </c>
      <c r="D9" s="2" t="s">
        <v>48</v>
      </c>
      <c r="E9" s="4">
        <f>B6</f>
        <v>2405.5000000000005</v>
      </c>
    </row>
    <row r="10" spans="1:8" x14ac:dyDescent="0.35">
      <c r="A10" s="2" t="s">
        <v>28</v>
      </c>
      <c r="B10" s="18">
        <f>INPUTS!H6</f>
        <v>0.2</v>
      </c>
      <c r="D10" s="29" t="s">
        <v>49</v>
      </c>
      <c r="E10" s="29"/>
    </row>
    <row r="11" spans="1:8" x14ac:dyDescent="0.35">
      <c r="A11" s="2" t="s">
        <v>52</v>
      </c>
      <c r="B11" s="19">
        <f>INPUTS!D4</f>
        <v>8.5000000000000006E-2</v>
      </c>
      <c r="D11" s="23" t="s">
        <v>40</v>
      </c>
      <c r="E11" s="23">
        <f>0</f>
        <v>0</v>
      </c>
    </row>
  </sheetData>
  <mergeCells count="3">
    <mergeCell ref="D6:E6"/>
    <mergeCell ref="D10:E10"/>
    <mergeCell ref="G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05F8B-D025-4848-AD7E-4CDFE698EA88}">
  <dimension ref="A2:H15"/>
  <sheetViews>
    <sheetView showGridLines="0" tabSelected="1" workbookViewId="0">
      <selection activeCell="C10" sqref="C10"/>
    </sheetView>
  </sheetViews>
  <sheetFormatPr defaultRowHeight="15.6" x14ac:dyDescent="0.35"/>
  <cols>
    <col min="1" max="1" width="29.44140625" style="6" customWidth="1"/>
    <col min="2" max="2" width="13.6640625" style="3" customWidth="1"/>
    <col min="3" max="3" width="8.88671875" style="6"/>
    <col min="4" max="4" width="29.44140625" style="6" customWidth="1"/>
    <col min="5" max="5" width="13.6640625" style="3" customWidth="1"/>
    <col min="6" max="6" width="8.88671875" style="6"/>
    <col min="7" max="7" width="29.44140625" style="6" customWidth="1"/>
    <col min="8" max="8" width="13.6640625" style="3" customWidth="1"/>
    <col min="9" max="16384" width="8.88671875" style="6"/>
  </cols>
  <sheetData>
    <row r="2" spans="1:8" x14ac:dyDescent="0.35">
      <c r="A2" s="22" t="s">
        <v>23</v>
      </c>
      <c r="B2" s="24" t="s">
        <v>29</v>
      </c>
      <c r="D2" s="27" t="s">
        <v>53</v>
      </c>
      <c r="E2" s="28"/>
      <c r="G2" s="27" t="s">
        <v>45</v>
      </c>
      <c r="H2" s="28"/>
    </row>
    <row r="3" spans="1:8" x14ac:dyDescent="0.35">
      <c r="A3" s="2" t="s">
        <v>16</v>
      </c>
      <c r="B3" s="12">
        <f>INPUTS!D14</f>
        <v>1415</v>
      </c>
      <c r="D3" s="2"/>
      <c r="E3" s="5" t="s">
        <v>79</v>
      </c>
      <c r="G3" s="2" t="s">
        <v>38</v>
      </c>
      <c r="H3" s="12">
        <f>E4*(1+B9)^5</f>
        <v>582.14778402816012</v>
      </c>
    </row>
    <row r="4" spans="1:8" x14ac:dyDescent="0.35">
      <c r="A4" s="2" t="s">
        <v>4</v>
      </c>
      <c r="B4" s="12">
        <f>INPUTS!D15</f>
        <v>1839.5</v>
      </c>
      <c r="D4" s="2" t="s">
        <v>35</v>
      </c>
      <c r="E4" s="5">
        <f>B7*B5</f>
        <v>396.2</v>
      </c>
      <c r="G4" s="2" t="s">
        <v>54</v>
      </c>
      <c r="H4" s="12">
        <f>E5</f>
        <v>1683.8500000000001</v>
      </c>
    </row>
    <row r="5" spans="1:8" x14ac:dyDescent="0.35">
      <c r="A5" s="2" t="s">
        <v>18</v>
      </c>
      <c r="B5" s="5">
        <f>INPUTS!D16</f>
        <v>566</v>
      </c>
      <c r="D5" s="2" t="s">
        <v>36</v>
      </c>
      <c r="E5" s="12">
        <f>B7*B6</f>
        <v>1683.8500000000001</v>
      </c>
      <c r="G5" s="30" t="s">
        <v>55</v>
      </c>
      <c r="H5" s="30"/>
    </row>
    <row r="6" spans="1:8" x14ac:dyDescent="0.35">
      <c r="A6" s="2" t="s">
        <v>24</v>
      </c>
      <c r="B6" s="12">
        <f>INPUTS!D13</f>
        <v>2405.5000000000005</v>
      </c>
      <c r="D6" s="2" t="s">
        <v>37</v>
      </c>
      <c r="E6" s="12">
        <f>E5-E4</f>
        <v>1287.6500000000001</v>
      </c>
    </row>
    <row r="7" spans="1:8" x14ac:dyDescent="0.35">
      <c r="A7" s="2" t="s">
        <v>25</v>
      </c>
      <c r="B7" s="20">
        <f>INPUTS!H3</f>
        <v>0.7</v>
      </c>
      <c r="D7" s="2" t="s">
        <v>58</v>
      </c>
      <c r="E7" s="12">
        <f>E5-H3</f>
        <v>1101.7022159718399</v>
      </c>
      <c r="G7" s="27" t="s">
        <v>41</v>
      </c>
      <c r="H7" s="28"/>
    </row>
    <row r="8" spans="1:8" x14ac:dyDescent="0.35">
      <c r="A8" s="2" t="s">
        <v>26</v>
      </c>
      <c r="B8" s="20">
        <f>INPUTS!H4</f>
        <v>0.3</v>
      </c>
      <c r="D8" s="2" t="s">
        <v>43</v>
      </c>
      <c r="E8" s="12">
        <f>B14*E7</f>
        <v>110.170221597184</v>
      </c>
      <c r="G8" s="2" t="s">
        <v>64</v>
      </c>
      <c r="H8" s="12">
        <f>E13</f>
        <v>174.55272159718402</v>
      </c>
    </row>
    <row r="9" spans="1:8" x14ac:dyDescent="0.35">
      <c r="A9" s="2" t="s">
        <v>27</v>
      </c>
      <c r="B9" s="20">
        <f>INPUTS!H5</f>
        <v>0.08</v>
      </c>
      <c r="D9" s="2" t="s">
        <v>60</v>
      </c>
      <c r="E9" s="5">
        <f>B15*E4</f>
        <v>19.810000000000002</v>
      </c>
      <c r="G9" s="2" t="s">
        <v>25</v>
      </c>
      <c r="H9" s="12">
        <f>E5-E8</f>
        <v>1573.6797784028161</v>
      </c>
    </row>
    <row r="10" spans="1:8" x14ac:dyDescent="0.35">
      <c r="A10" s="2" t="s">
        <v>28</v>
      </c>
      <c r="B10" s="20">
        <f>INPUTS!H6</f>
        <v>0.2</v>
      </c>
      <c r="D10" s="2" t="s">
        <v>61</v>
      </c>
      <c r="E10" s="5">
        <f>E5/E4</f>
        <v>4.2500000000000009</v>
      </c>
      <c r="G10" s="2" t="s">
        <v>26</v>
      </c>
      <c r="H10" s="5">
        <f>B8*B6</f>
        <v>721.65000000000009</v>
      </c>
    </row>
    <row r="11" spans="1:8" x14ac:dyDescent="0.35">
      <c r="A11" s="2" t="s">
        <v>52</v>
      </c>
      <c r="B11" s="21">
        <f>INPUTS!D4</f>
        <v>8.5000000000000006E-2</v>
      </c>
      <c r="D11" s="2" t="s">
        <v>62</v>
      </c>
      <c r="E11" s="12">
        <f>E9*E10</f>
        <v>84.192500000000024</v>
      </c>
    </row>
    <row r="12" spans="1:8" x14ac:dyDescent="0.35">
      <c r="D12" s="2" t="s">
        <v>37</v>
      </c>
      <c r="E12" s="12">
        <f>E11-E9</f>
        <v>64.382500000000022</v>
      </c>
    </row>
    <row r="13" spans="1:8" x14ac:dyDescent="0.35">
      <c r="A13" s="31" t="s">
        <v>56</v>
      </c>
      <c r="B13" s="32"/>
      <c r="D13" s="2" t="s">
        <v>63</v>
      </c>
      <c r="E13" s="12">
        <f>E8+E12</f>
        <v>174.55272159718402</v>
      </c>
    </row>
    <row r="14" spans="1:8" x14ac:dyDescent="0.35">
      <c r="A14" s="2" t="s">
        <v>57</v>
      </c>
      <c r="B14" s="20">
        <v>0.1</v>
      </c>
    </row>
    <row r="15" spans="1:8" x14ac:dyDescent="0.35">
      <c r="A15" s="2" t="s">
        <v>59</v>
      </c>
      <c r="B15" s="20">
        <v>0.05</v>
      </c>
    </row>
  </sheetData>
  <mergeCells count="5">
    <mergeCell ref="D2:E2"/>
    <mergeCell ref="G2:H2"/>
    <mergeCell ref="G5:H5"/>
    <mergeCell ref="A13:B13"/>
    <mergeCell ref="G7:H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D709-4204-4773-BEE2-F91D803FFF93}">
  <dimension ref="A1:E4"/>
  <sheetViews>
    <sheetView showGridLines="0" tabSelected="1" workbookViewId="0">
      <selection activeCell="C10" sqref="C10"/>
    </sheetView>
  </sheetViews>
  <sheetFormatPr defaultRowHeight="15.6" x14ac:dyDescent="0.35"/>
  <cols>
    <col min="1" max="1" width="21.44140625" style="6" customWidth="1"/>
    <col min="2" max="6" width="21.88671875" style="6" customWidth="1"/>
    <col min="7" max="16384" width="8.88671875" style="6"/>
  </cols>
  <sheetData>
    <row r="1" spans="1:5" s="3" customFormat="1" x14ac:dyDescent="0.3">
      <c r="A1" s="17" t="s">
        <v>65</v>
      </c>
      <c r="B1" s="17" t="s">
        <v>72</v>
      </c>
      <c r="C1" s="17" t="s">
        <v>66</v>
      </c>
      <c r="D1" s="17" t="s">
        <v>67</v>
      </c>
      <c r="E1" s="17" t="s">
        <v>68</v>
      </c>
    </row>
    <row r="2" spans="1:5" x14ac:dyDescent="0.35">
      <c r="A2" s="2" t="s">
        <v>69</v>
      </c>
      <c r="B2" s="12">
        <f>'RESET CARRY'!K3</f>
        <v>1463.5095568056322</v>
      </c>
      <c r="C2" s="5">
        <f>'RESET CARRY'!K4</f>
        <v>721.65000000000009</v>
      </c>
      <c r="D2" s="12">
        <f>'RESET CARRY'!K5</f>
        <v>220.34044319436799</v>
      </c>
      <c r="E2" s="12">
        <f>B2+C2+D2</f>
        <v>2405.5000000000005</v>
      </c>
    </row>
    <row r="3" spans="1:5" x14ac:dyDescent="0.35">
      <c r="A3" s="2" t="s">
        <v>70</v>
      </c>
      <c r="B3" s="5">
        <f>'CATCHUP CARRY ONLY'!H3</f>
        <v>1683.8500000000001</v>
      </c>
      <c r="C3" s="5">
        <f>'CATCHUP CARRY ONLY'!H4</f>
        <v>721.65000000000009</v>
      </c>
      <c r="D3" s="5">
        <f>'CATCHUP CARRY ONLY'!H5</f>
        <v>0</v>
      </c>
      <c r="E3" s="12">
        <f t="shared" ref="E3:E4" si="0">B3+C3+D3</f>
        <v>2405.5</v>
      </c>
    </row>
    <row r="4" spans="1:5" x14ac:dyDescent="0.35">
      <c r="A4" s="2" t="s">
        <v>71</v>
      </c>
      <c r="B4" s="12">
        <f>'BLENDEDCARRY+CATCHUP+GPROLLOVER'!H9</f>
        <v>1573.6797784028161</v>
      </c>
      <c r="C4" s="5">
        <f>'BLENDEDCARRY+CATCHUP+GPROLLOVER'!H10</f>
        <v>721.65000000000009</v>
      </c>
      <c r="D4" s="12">
        <f>'BLENDEDCARRY+CATCHUP+GPROLLOVER'!H8</f>
        <v>174.55272159718402</v>
      </c>
      <c r="E4" s="12">
        <f t="shared" si="0"/>
        <v>2469.8825000000006</v>
      </c>
    </row>
  </sheetData>
  <conditionalFormatting sqref="B2: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RESET CARRY</vt:lpstr>
      <vt:lpstr>CATCHUP CARRY ONLY</vt:lpstr>
      <vt:lpstr>BLENDEDCARRY+CATCHUP+GPROLLOVER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241250046_Sarath K</dc:creator>
  <cp:lastModifiedBy>Shivam Raj</cp:lastModifiedBy>
  <dcterms:created xsi:type="dcterms:W3CDTF">2015-06-05T18:17:20Z</dcterms:created>
  <dcterms:modified xsi:type="dcterms:W3CDTF">2026-01-22T16:33:55Z</dcterms:modified>
</cp:coreProperties>
</file>